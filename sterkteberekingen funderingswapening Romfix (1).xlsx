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yenlo-my.sharepoint.com/personal/berntjan_bosma_yenlo_com/Documents/Bureaublad/Romfix/"/>
    </mc:Choice>
  </mc:AlternateContent>
  <xr:revisionPtr revIDLastSave="12" documentId="8_{4343CC2F-9073-4518-94E3-F3DA523D61FD}" xr6:coauthVersionLast="47" xr6:coauthVersionMax="47" xr10:uidLastSave="{800AA4D0-F76F-4907-8B03-D252897EA3DD}"/>
  <bookViews>
    <workbookView xWindow="-120" yWindow="-120" windowWidth="29040" windowHeight="17520" tabRatio="791" activeTab="1" xr2:uid="{00000000-000D-0000-FFFF-FFFF00000000}"/>
  </bookViews>
  <sheets>
    <sheet name="Capping_Romfix" sheetId="115" r:id="rId1"/>
    <sheet name="RoadBase_Romfix" sheetId="116" r:id="rId2"/>
  </sheets>
  <definedNames>
    <definedName name="_xlnm.Print_Area" localSheetId="0">Capping_Romfix!$A$1:$G$31</definedName>
    <definedName name="_xlnm.Print_Area" localSheetId="1">RoadBase_Romfix!$A$1:$G$31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7" i="116" l="1"/>
  <c r="D67" i="116" s="1"/>
  <c r="A67" i="116"/>
  <c r="A66" i="116"/>
  <c r="A65" i="116"/>
  <c r="A64" i="116"/>
  <c r="A63" i="116"/>
  <c r="A62" i="116"/>
  <c r="A61" i="116"/>
  <c r="A56" i="116"/>
  <c r="A55" i="116"/>
  <c r="A54" i="116"/>
  <c r="A53" i="116"/>
  <c r="A52" i="116"/>
  <c r="A51" i="116"/>
  <c r="G38" i="116"/>
  <c r="F38" i="116"/>
  <c r="E38" i="116"/>
  <c r="D38" i="116"/>
  <c r="C38" i="116"/>
  <c r="B38" i="116"/>
  <c r="F37" i="116"/>
  <c r="G36" i="116"/>
  <c r="F36" i="116"/>
  <c r="G35" i="116"/>
  <c r="F35" i="116"/>
  <c r="E35" i="116"/>
  <c r="D35" i="116"/>
  <c r="C35" i="116"/>
  <c r="B35" i="116"/>
  <c r="C31" i="116"/>
  <c r="D31" i="116" s="1"/>
  <c r="E31" i="116" s="1"/>
  <c r="E15" i="116" s="1"/>
  <c r="B30" i="116"/>
  <c r="C66" i="116" s="1"/>
  <c r="D66" i="116" s="1"/>
  <c r="A30" i="116"/>
  <c r="B29" i="116"/>
  <c r="A29" i="116"/>
  <c r="B28" i="116"/>
  <c r="B54" i="116" s="1"/>
  <c r="A28" i="116"/>
  <c r="B27" i="116"/>
  <c r="B53" i="116" s="1"/>
  <c r="A27" i="116"/>
  <c r="B26" i="116"/>
  <c r="A26" i="116"/>
  <c r="B25" i="116"/>
  <c r="A25" i="116"/>
  <c r="C24" i="116"/>
  <c r="E24" i="116" s="1"/>
  <c r="E12" i="116" s="1"/>
  <c r="B24" i="116"/>
  <c r="A24" i="116"/>
  <c r="A20" i="116"/>
  <c r="A19" i="116"/>
  <c r="D15" i="116"/>
  <c r="D12" i="116"/>
  <c r="C67" i="115"/>
  <c r="D67" i="115" s="1"/>
  <c r="A67" i="115"/>
  <c r="A66" i="115"/>
  <c r="A65" i="115"/>
  <c r="A64" i="115"/>
  <c r="A63" i="115"/>
  <c r="A62" i="115"/>
  <c r="A61" i="115"/>
  <c r="A56" i="115"/>
  <c r="A55" i="115"/>
  <c r="A54" i="115"/>
  <c r="A53" i="115"/>
  <c r="A52" i="115"/>
  <c r="A51" i="115"/>
  <c r="G38" i="115"/>
  <c r="F38" i="115"/>
  <c r="E38" i="115"/>
  <c r="D38" i="115"/>
  <c r="C38" i="115"/>
  <c r="B38" i="115"/>
  <c r="F37" i="115"/>
  <c r="G36" i="115"/>
  <c r="F36" i="115"/>
  <c r="G35" i="115"/>
  <c r="F35" i="115"/>
  <c r="E35" i="115"/>
  <c r="D35" i="115"/>
  <c r="C35" i="115"/>
  <c r="B35" i="115"/>
  <c r="C31" i="115"/>
  <c r="B37" i="115" s="1"/>
  <c r="B30" i="115"/>
  <c r="C66" i="115" s="1"/>
  <c r="D66" i="115" s="1"/>
  <c r="A30" i="115"/>
  <c r="B29" i="115"/>
  <c r="A29" i="115"/>
  <c r="B28" i="115"/>
  <c r="B54" i="115" s="1"/>
  <c r="A28" i="115"/>
  <c r="B27" i="115"/>
  <c r="B53" i="115" s="1"/>
  <c r="A27" i="115"/>
  <c r="B26" i="115"/>
  <c r="A26" i="115"/>
  <c r="B25" i="115"/>
  <c r="A25" i="115"/>
  <c r="C24" i="115"/>
  <c r="E24" i="115" s="1"/>
  <c r="E12" i="115" s="1"/>
  <c r="B24" i="115"/>
  <c r="A24" i="115"/>
  <c r="A20" i="115"/>
  <c r="A19" i="115"/>
  <c r="D15" i="115"/>
  <c r="D12" i="115"/>
  <c r="C62" i="116" l="1"/>
  <c r="D62" i="116" s="1"/>
  <c r="C63" i="116"/>
  <c r="D63" i="116" s="1"/>
  <c r="D36" i="116"/>
  <c r="C65" i="116"/>
  <c r="D65" i="116" s="1"/>
  <c r="C64" i="116"/>
  <c r="D64" i="116" s="1"/>
  <c r="C36" i="116"/>
  <c r="F39" i="116"/>
  <c r="F40" i="116" s="1"/>
  <c r="F45" i="116" s="1"/>
  <c r="F44" i="116" s="1"/>
  <c r="F43" i="116" s="1"/>
  <c r="F42" i="116" s="1"/>
  <c r="F41" i="116" s="1"/>
  <c r="F46" i="116" s="1"/>
  <c r="F39" i="115"/>
  <c r="F40" i="115" s="1"/>
  <c r="F45" i="115" s="1"/>
  <c r="F44" i="115" s="1"/>
  <c r="F43" i="115" s="1"/>
  <c r="F42" i="115" s="1"/>
  <c r="F41" i="115" s="1"/>
  <c r="F46" i="115" s="1"/>
  <c r="B37" i="116"/>
  <c r="E36" i="116"/>
  <c r="B51" i="116"/>
  <c r="B52" i="116"/>
  <c r="B55" i="116"/>
  <c r="B56" i="116"/>
  <c r="C61" i="116"/>
  <c r="D61" i="116" s="1"/>
  <c r="B36" i="116"/>
  <c r="D31" i="115"/>
  <c r="E31" i="115" s="1"/>
  <c r="E15" i="115" s="1"/>
  <c r="C61" i="115"/>
  <c r="D61" i="115" s="1"/>
  <c r="C36" i="115"/>
  <c r="C62" i="115"/>
  <c r="D62" i="115" s="1"/>
  <c r="C65" i="115"/>
  <c r="D65" i="115" s="1"/>
  <c r="D36" i="115"/>
  <c r="C63" i="115"/>
  <c r="D63" i="115" s="1"/>
  <c r="C64" i="115"/>
  <c r="D64" i="115" s="1"/>
  <c r="B36" i="115"/>
  <c r="B39" i="115" s="1"/>
  <c r="B40" i="115" s="1"/>
  <c r="E36" i="115"/>
  <c r="B51" i="115"/>
  <c r="B52" i="115"/>
  <c r="B55" i="115"/>
  <c r="B56" i="115"/>
  <c r="B39" i="116" l="1"/>
  <c r="B40" i="116" s="1"/>
  <c r="B45" i="116" s="1"/>
  <c r="B44" i="116" s="1"/>
  <c r="B43" i="116" s="1"/>
  <c r="B42" i="116" s="1"/>
  <c r="B41" i="116" s="1"/>
  <c r="B46" i="116" s="1"/>
  <c r="C30" i="116" s="1"/>
  <c r="C56" i="116" s="1"/>
  <c r="D56" i="116" s="1"/>
  <c r="E66" i="116" s="1"/>
  <c r="F66" i="116" s="1"/>
  <c r="D30" i="116" s="1"/>
  <c r="C29" i="116" s="1"/>
  <c r="C55" i="116" s="1"/>
  <c r="D14" i="116"/>
  <c r="E67" i="116"/>
  <c r="F67" i="116" s="1"/>
  <c r="G37" i="116" s="1"/>
  <c r="G39" i="116" s="1"/>
  <c r="G40" i="116" s="1"/>
  <c r="B45" i="115"/>
  <c r="B44" i="115" s="1"/>
  <c r="B43" i="115" s="1"/>
  <c r="B42" i="115" s="1"/>
  <c r="B41" i="115" s="1"/>
  <c r="B46" i="115" s="1"/>
  <c r="C30" i="115" s="1"/>
  <c r="C56" i="115" s="1"/>
  <c r="D56" i="115" s="1"/>
  <c r="E66" i="115" s="1"/>
  <c r="F66" i="115" s="1"/>
  <c r="D30" i="115" s="1"/>
  <c r="E67" i="115"/>
  <c r="F67" i="115" s="1"/>
  <c r="G37" i="115" s="1"/>
  <c r="G39" i="115" s="1"/>
  <c r="G40" i="115" s="1"/>
  <c r="D14" i="115"/>
  <c r="D55" i="116" l="1"/>
  <c r="E65" i="116" s="1"/>
  <c r="F65" i="116" s="1"/>
  <c r="D29" i="116" s="1"/>
  <c r="G45" i="116"/>
  <c r="G44" i="116" s="1"/>
  <c r="G43" i="116" s="1"/>
  <c r="G42" i="116" s="1"/>
  <c r="G41" i="116" s="1"/>
  <c r="G46" i="116" s="1"/>
  <c r="D13" i="116" s="1"/>
  <c r="C29" i="115"/>
  <c r="C55" i="115" s="1"/>
  <c r="D55" i="115" s="1"/>
  <c r="E65" i="115" s="1"/>
  <c r="F65" i="115" s="1"/>
  <c r="D29" i="115" s="1"/>
  <c r="C37" i="115" s="1"/>
  <c r="C39" i="115" s="1"/>
  <c r="C40" i="115" s="1"/>
  <c r="C45" i="115" s="1"/>
  <c r="C44" i="115" s="1"/>
  <c r="C43" i="115" s="1"/>
  <c r="C42" i="115" s="1"/>
  <c r="C41" i="115" s="1"/>
  <c r="C46" i="115" s="1"/>
  <c r="C28" i="115" s="1"/>
  <c r="C54" i="115" s="1"/>
  <c r="D54" i="115" s="1"/>
  <c r="G45" i="115"/>
  <c r="G44" i="115" s="1"/>
  <c r="G43" i="115" s="1"/>
  <c r="G42" i="115" s="1"/>
  <c r="G41" i="115" s="1"/>
  <c r="G46" i="115" s="1"/>
  <c r="D13" i="115" s="1"/>
  <c r="C37" i="116" l="1"/>
  <c r="C39" i="116" s="1"/>
  <c r="C40" i="116" s="1"/>
  <c r="E28" i="115"/>
  <c r="E14" i="115" s="1"/>
  <c r="E64" i="115"/>
  <c r="F64" i="115" s="1"/>
  <c r="D28" i="115" s="1"/>
  <c r="D37" i="115" s="1"/>
  <c r="D39" i="115" s="1"/>
  <c r="D40" i="115" s="1"/>
  <c r="C45" i="116" l="1"/>
  <c r="C44" i="116" s="1"/>
  <c r="C43" i="116" s="1"/>
  <c r="C42" i="116" s="1"/>
  <c r="C41" i="116" s="1"/>
  <c r="C46" i="116" s="1"/>
  <c r="C28" i="116" s="1"/>
  <c r="C54" i="116" s="1"/>
  <c r="D54" i="116" s="1"/>
  <c r="D45" i="115"/>
  <c r="D44" i="115" s="1"/>
  <c r="D43" i="115" s="1"/>
  <c r="D42" i="115" s="1"/>
  <c r="D41" i="115" s="1"/>
  <c r="D46" i="115" s="1"/>
  <c r="C27" i="115" s="1"/>
  <c r="C53" i="115" s="1"/>
  <c r="D53" i="115" s="1"/>
  <c r="E63" i="115" s="1"/>
  <c r="F63" i="115" s="1"/>
  <c r="D27" i="115" s="1"/>
  <c r="E64" i="116" l="1"/>
  <c r="F64" i="116" s="1"/>
  <c r="D28" i="116" s="1"/>
  <c r="E28" i="116"/>
  <c r="E14" i="116" s="1"/>
  <c r="C26" i="115"/>
  <c r="C52" i="115" s="1"/>
  <c r="D52" i="115" s="1"/>
  <c r="E62" i="115" s="1"/>
  <c r="F62" i="115" s="1"/>
  <c r="D26" i="115" s="1"/>
  <c r="E37" i="115" s="1"/>
  <c r="E39" i="115" s="1"/>
  <c r="E40" i="115" s="1"/>
  <c r="E45" i="115" s="1"/>
  <c r="E44" i="115" s="1"/>
  <c r="E43" i="115" s="1"/>
  <c r="E42" i="115" s="1"/>
  <c r="E41" i="115" s="1"/>
  <c r="E46" i="115" s="1"/>
  <c r="C25" i="115" s="1"/>
  <c r="C51" i="115" s="1"/>
  <c r="D51" i="115" s="1"/>
  <c r="D37" i="116" l="1"/>
  <c r="D39" i="116" s="1"/>
  <c r="D40" i="116" s="1"/>
  <c r="D45" i="116" s="1"/>
  <c r="D44" i="116" s="1"/>
  <c r="D43" i="116" s="1"/>
  <c r="D42" i="116" s="1"/>
  <c r="D41" i="116" s="1"/>
  <c r="D46" i="116" s="1"/>
  <c r="C27" i="116" s="1"/>
  <c r="C53" i="116" s="1"/>
  <c r="D53" i="116" s="1"/>
  <c r="E63" i="116" s="1"/>
  <c r="F63" i="116" s="1"/>
  <c r="D27" i="116" s="1"/>
  <c r="C26" i="116" s="1"/>
  <c r="C52" i="116" s="1"/>
  <c r="D52" i="116" s="1"/>
  <c r="E62" i="116" s="1"/>
  <c r="F62" i="116" s="1"/>
  <c r="E61" i="115"/>
  <c r="F61" i="115" s="1"/>
  <c r="D25" i="115" s="1"/>
  <c r="E25" i="115"/>
  <c r="E13" i="115" s="1"/>
  <c r="D26" i="116" l="1"/>
  <c r="E37" i="116" s="1"/>
  <c r="E39" i="116" s="1"/>
  <c r="E40" i="116" s="1"/>
  <c r="E45" i="116" s="1"/>
  <c r="E44" i="116" s="1"/>
  <c r="E43" i="116" s="1"/>
  <c r="E42" i="116" s="1"/>
  <c r="E41" i="116" s="1"/>
  <c r="E46" i="116" s="1"/>
  <c r="C25" i="116" s="1"/>
  <c r="C51" i="116" s="1"/>
  <c r="D51" i="116" s="1"/>
  <c r="E25" i="116" l="1"/>
  <c r="E13" i="116" s="1"/>
  <c r="E61" i="116"/>
  <c r="F61" i="116" s="1"/>
  <c r="D25" i="116" s="1"/>
</calcChain>
</file>

<file path=xl/sharedStrings.xml><?xml version="1.0" encoding="utf-8"?>
<sst xmlns="http://schemas.openxmlformats.org/spreadsheetml/2006/main" count="138" uniqueCount="58">
  <si>
    <t>Funderingswapening</t>
  </si>
  <si>
    <t>E (MPa)</t>
  </si>
  <si>
    <t>Ratio onderfundering (-)</t>
  </si>
  <si>
    <t>Austroads AGPT02/10 p. 102</t>
  </si>
  <si>
    <t>E1/E2</t>
  </si>
  <si>
    <t>a/h</t>
  </si>
  <si>
    <t>h (mm)</t>
  </si>
  <si>
    <t>Ondergrond</t>
  </si>
  <si>
    <t>x</t>
  </si>
  <si>
    <t>a (mm)</t>
  </si>
  <si>
    <t>Gemiddelde sub 1 t/m sub 5 (MPa)</t>
  </si>
  <si>
    <t>sub5 (MPa)</t>
  </si>
  <si>
    <t>sub4 (MPa)</t>
  </si>
  <si>
    <t>sub3 (MPa)</t>
  </si>
  <si>
    <t>sub2 (MPa)</t>
  </si>
  <si>
    <t>sub1 (MPa)</t>
  </si>
  <si>
    <t>E onderliggend (MPa)</t>
  </si>
  <si>
    <t>E_eq (MPa)</t>
  </si>
  <si>
    <t>E_niv (MPa)</t>
  </si>
  <si>
    <t>F2</t>
  </si>
  <si>
    <t>Laag</t>
  </si>
  <si>
    <t>E max (MPa)</t>
  </si>
  <si>
    <t>E max op basis van E onderliggend (MPa)</t>
  </si>
  <si>
    <t>Laagdikte (mm)</t>
  </si>
  <si>
    <t>Parameter</t>
  </si>
  <si>
    <t>Bepaling stijfheidsmodulus per sublaag van granulaire onderfundering en fundering</t>
  </si>
  <si>
    <t>Bepaling equivalente stijfheidsmodulus van onderfundering en fundering</t>
  </si>
  <si>
    <t>Resultaat laagopbouw en stijfheid</t>
  </si>
  <si>
    <t>Bepaling conversiefactor F2 voor bepaling stijfheid halfoneindig medium</t>
  </si>
  <si>
    <t>Bepaling stijfheidsmoduli per laag en equivalente stijfheidsmoduli</t>
  </si>
  <si>
    <t>Case</t>
  </si>
  <si>
    <t>Tweelagen model Palmer &amp; Barber</t>
  </si>
  <si>
    <t>Invoer wegconstructie</t>
  </si>
  <si>
    <t>Invoer funderingswapening</t>
  </si>
  <si>
    <t>SIF
(-)</t>
  </si>
  <si>
    <t>MIF
(-)</t>
  </si>
  <si>
    <t>Ontwerper</t>
  </si>
  <si>
    <t>Datum</t>
  </si>
  <si>
    <t>Code</t>
  </si>
  <si>
    <t>Laagdikte
(mm)</t>
  </si>
  <si>
    <t>Effectieve
werkingsdikte
(mm)</t>
  </si>
  <si>
    <t>Diepte
onderzijde
(mm)</t>
  </si>
  <si>
    <t>E-modulus
gewapend
(MPa)</t>
  </si>
  <si>
    <t>E-modulus
ongewapend
(MPa) (In)</t>
  </si>
  <si>
    <t>E-modulus
ongewapend
(MPa) (W)</t>
  </si>
  <si>
    <t>&lt; geen wapeningsoptie</t>
  </si>
  <si>
    <t>Model Thenn de Barros, TU Delft, report 7-92-203-7; p.16</t>
  </si>
  <si>
    <t>&lt;vast of vrij</t>
  </si>
  <si>
    <t>Christ van Gurp - Weetvanwegen</t>
  </si>
  <si>
    <t>versie 2.3 - 14 december 2023</t>
  </si>
  <si>
    <t>Wvw20231214</t>
  </si>
  <si>
    <t>vrij</t>
  </si>
  <si>
    <t>Beton + fundering</t>
  </si>
  <si>
    <t>Beton + fundering + series 800</t>
  </si>
  <si>
    <t>test Romfix geocel + geogrid</t>
  </si>
  <si>
    <t>Series 600 6F2 + R'cel + E'grid</t>
  </si>
  <si>
    <t>Series 800 Type 1 + R'cel + E'grid</t>
  </si>
  <si>
    <t>Test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</si>
</sst>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0.000"/>
    <numFmt numFmtId="166" formatCode="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3" borderId="4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1" xfId="0" applyFill="1" applyBorder="1" applyProtection="1">
      <protection locked="0"/>
    </xf>
    <xf numFmtId="166" fontId="0" fillId="2" borderId="1" xfId="0" applyNumberFormat="1" applyFill="1" applyBorder="1" applyAlignment="1" applyProtection="1">
      <alignment horizontal="center"/>
      <protection locked="0"/>
    </xf>
    <xf numFmtId="1" fontId="6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right"/>
    </xf>
    <xf numFmtId="2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0" fillId="3" borderId="1" xfId="0" applyFill="1" applyBorder="1" applyAlignment="1" applyProtection="1">
      <alignment horizontal="left"/>
      <protection locked="0"/>
    </xf>
    <xf numFmtId="14" fontId="0" fillId="3" borderId="1" xfId="0" applyNumberFormat="1" applyFill="1" applyBorder="1" applyAlignment="1" applyProtection="1">
      <alignment horizontal="left"/>
      <protection locked="0"/>
    </xf>
  </cellXfs>
  <cellStyles count="1">
    <cellStyle name="Standaard" xfId="0" builtinId="0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B15D-D80B-47B0-8B98-21A014914E5D}">
  <sheetPr>
    <tabColor rgb="FFFFFF00"/>
    <pageSetUpPr fitToPage="1"/>
  </sheetPr>
  <dimension ref="A1:Q151"/>
  <sheetViews>
    <sheetView zoomScaleNormal="100" workbookViewId="0">
      <selection activeCell="B38" sqref="B38"/>
    </sheetView>
  </sheetViews>
  <sheetFormatPr defaultRowHeight="12.75" x14ac:dyDescent="0.2"/>
  <cols>
    <col min="1" max="1" width="42" customWidth="1"/>
    <col min="2" max="3" width="13.140625" style="16" customWidth="1"/>
    <col min="4" max="4" width="13" style="16" bestFit="1" customWidth="1"/>
    <col min="5" max="5" width="13.140625" style="16" customWidth="1"/>
    <col min="6" max="6" width="13.140625" customWidth="1"/>
    <col min="7" max="7" width="13.28515625" customWidth="1"/>
    <col min="8" max="8" width="11.85546875" style="15" customWidth="1"/>
    <col min="9" max="9" width="11.140625" style="15" customWidth="1"/>
    <col min="10" max="10" width="10.85546875" style="15" bestFit="1" customWidth="1"/>
    <col min="11" max="12" width="11.85546875" style="15" customWidth="1"/>
    <col min="13" max="13" width="26" bestFit="1" customWidth="1"/>
    <col min="14" max="15" width="10.85546875" style="16" bestFit="1" customWidth="1"/>
    <col min="16" max="16" width="8.7109375" style="16"/>
  </cols>
  <sheetData>
    <row r="1" spans="1:17" s="11" customFormat="1" ht="15.75" x14ac:dyDescent="0.25">
      <c r="A1" s="10" t="s">
        <v>49</v>
      </c>
      <c r="C1" s="12"/>
      <c r="D1" s="12"/>
      <c r="E1" s="12"/>
      <c r="F1" s="44" t="s">
        <v>50</v>
      </c>
      <c r="G1" s="44"/>
      <c r="H1" s="13"/>
      <c r="I1" s="13"/>
      <c r="J1" s="13"/>
      <c r="K1" s="13"/>
      <c r="L1" s="13"/>
      <c r="N1" s="12"/>
      <c r="O1" s="12"/>
      <c r="P1" s="12"/>
      <c r="Q1" s="14"/>
    </row>
    <row r="2" spans="1:17" s="11" customFormat="1" ht="15.75" x14ac:dyDescent="0.25">
      <c r="A2" s="11" t="s">
        <v>0</v>
      </c>
      <c r="B2" s="12"/>
      <c r="C2" s="12"/>
      <c r="D2" s="12"/>
      <c r="E2" s="12"/>
      <c r="H2" s="13"/>
      <c r="I2" s="13"/>
      <c r="J2" s="13"/>
      <c r="K2" s="13"/>
      <c r="L2" s="13"/>
      <c r="N2" s="12"/>
      <c r="O2" s="12"/>
      <c r="P2" s="12"/>
      <c r="Q2" s="14"/>
    </row>
    <row r="3" spans="1:17" s="11" customFormat="1" ht="15.75" x14ac:dyDescent="0.25">
      <c r="A3" s="11" t="s">
        <v>29</v>
      </c>
      <c r="B3" s="12"/>
      <c r="C3" s="12"/>
      <c r="D3" s="12"/>
      <c r="E3" s="12"/>
      <c r="H3" s="13"/>
      <c r="I3" s="13"/>
      <c r="J3" s="13"/>
      <c r="K3" s="13"/>
      <c r="L3" s="13"/>
      <c r="N3" s="12"/>
      <c r="O3" s="12"/>
      <c r="P3" s="12"/>
    </row>
    <row r="4" spans="1:17" x14ac:dyDescent="0.2">
      <c r="B4" s="15"/>
      <c r="C4" s="15"/>
      <c r="D4" s="15"/>
      <c r="E4" s="15"/>
      <c r="F4" s="15"/>
      <c r="H4" s="16"/>
      <c r="I4" s="16"/>
      <c r="J4" s="16"/>
      <c r="K4"/>
      <c r="L4"/>
      <c r="N4"/>
      <c r="O4"/>
      <c r="P4"/>
    </row>
    <row r="5" spans="1:17" x14ac:dyDescent="0.2">
      <c r="A5" s="17" t="s">
        <v>30</v>
      </c>
      <c r="B5" s="45" t="s">
        <v>57</v>
      </c>
      <c r="C5" s="45"/>
      <c r="D5" s="45"/>
      <c r="E5" s="45"/>
      <c r="F5" s="45"/>
      <c r="G5" s="45"/>
      <c r="H5" s="16"/>
      <c r="I5" s="16"/>
      <c r="J5" s="16"/>
      <c r="K5"/>
      <c r="L5"/>
      <c r="N5"/>
      <c r="O5"/>
      <c r="P5"/>
    </row>
    <row r="6" spans="1:17" x14ac:dyDescent="0.2">
      <c r="A6" s="17" t="s">
        <v>36</v>
      </c>
      <c r="B6" s="45" t="s">
        <v>48</v>
      </c>
      <c r="C6" s="45"/>
      <c r="D6" s="45"/>
      <c r="E6" s="45"/>
      <c r="F6" s="45"/>
      <c r="G6" s="45"/>
      <c r="H6" s="16"/>
      <c r="I6" s="16"/>
      <c r="J6" s="16"/>
      <c r="K6"/>
      <c r="L6"/>
      <c r="N6"/>
      <c r="O6"/>
      <c r="P6"/>
    </row>
    <row r="7" spans="1:17" x14ac:dyDescent="0.2">
      <c r="A7" s="17" t="s">
        <v>37</v>
      </c>
      <c r="B7" s="46">
        <v>45385</v>
      </c>
      <c r="C7" s="46"/>
      <c r="D7" s="46"/>
      <c r="E7" s="46"/>
      <c r="F7" s="46"/>
      <c r="G7" s="46"/>
      <c r="H7" s="16"/>
      <c r="I7" s="16"/>
      <c r="J7" s="16"/>
      <c r="K7"/>
      <c r="L7"/>
      <c r="N7"/>
      <c r="O7"/>
      <c r="P7"/>
    </row>
    <row r="8" spans="1:17" x14ac:dyDescent="0.2">
      <c r="A8" s="17" t="s">
        <v>38</v>
      </c>
      <c r="B8" s="45" t="s">
        <v>54</v>
      </c>
      <c r="C8" s="45"/>
      <c r="D8" s="45"/>
      <c r="E8" s="45"/>
      <c r="F8" s="45"/>
      <c r="G8" s="45"/>
      <c r="H8" s="16"/>
      <c r="I8" s="16"/>
      <c r="J8" s="16"/>
      <c r="K8"/>
      <c r="L8"/>
      <c r="N8"/>
      <c r="O8"/>
      <c r="P8"/>
    </row>
    <row r="9" spans="1:17" x14ac:dyDescent="0.2">
      <c r="B9" s="15"/>
      <c r="C9" s="15"/>
      <c r="D9" s="15"/>
      <c r="E9" s="15"/>
      <c r="F9" s="15"/>
      <c r="H9" s="16"/>
      <c r="I9" s="16"/>
      <c r="J9" s="16"/>
      <c r="K9"/>
      <c r="L9"/>
      <c r="N9"/>
      <c r="O9"/>
      <c r="P9"/>
    </row>
    <row r="10" spans="1:17" x14ac:dyDescent="0.2">
      <c r="A10" s="18" t="s">
        <v>32</v>
      </c>
      <c r="B10" s="15"/>
      <c r="C10" s="15"/>
      <c r="D10" s="15"/>
      <c r="E10" s="15"/>
      <c r="F10" s="15"/>
      <c r="H10" s="16"/>
      <c r="I10" s="16"/>
      <c r="J10" s="16"/>
      <c r="K10"/>
      <c r="L10"/>
      <c r="N10"/>
      <c r="O10"/>
      <c r="P10"/>
    </row>
    <row r="11" spans="1:17" ht="38.25" x14ac:dyDescent="0.2">
      <c r="A11" s="19" t="s">
        <v>20</v>
      </c>
      <c r="B11" s="20" t="s">
        <v>39</v>
      </c>
      <c r="C11" s="20" t="s">
        <v>43</v>
      </c>
      <c r="D11" s="20" t="s">
        <v>44</v>
      </c>
      <c r="E11" s="20" t="s">
        <v>42</v>
      </c>
      <c r="H11"/>
      <c r="I11"/>
      <c r="J11"/>
      <c r="K11"/>
      <c r="L11"/>
      <c r="N11"/>
      <c r="O11"/>
      <c r="P11"/>
    </row>
    <row r="12" spans="1:17" x14ac:dyDescent="0.2">
      <c r="A12" s="7" t="s">
        <v>53</v>
      </c>
      <c r="B12" s="1">
        <v>1050</v>
      </c>
      <c r="C12" s="3">
        <v>5000</v>
      </c>
      <c r="D12" s="4">
        <f>C12</f>
        <v>5000</v>
      </c>
      <c r="E12" s="5">
        <f>E24</f>
        <v>5000</v>
      </c>
      <c r="F12" s="42" t="s">
        <v>45</v>
      </c>
      <c r="G12" s="43"/>
      <c r="H12"/>
      <c r="I12"/>
      <c r="J12"/>
      <c r="K12"/>
      <c r="L12"/>
      <c r="N12"/>
      <c r="O12"/>
      <c r="P12"/>
    </row>
    <row r="13" spans="1:17" x14ac:dyDescent="0.2">
      <c r="A13" s="7" t="s">
        <v>55</v>
      </c>
      <c r="B13" s="2">
        <v>250</v>
      </c>
      <c r="C13" s="2">
        <v>150</v>
      </c>
      <c r="D13" s="9">
        <f>IF(F13="vast",C13,IF(F13="vrij",G46,""))</f>
        <v>49</v>
      </c>
      <c r="E13" s="5">
        <f>IF(F13="vrij",E25,IF(F13="vast",MAX(D13,E25),""))</f>
        <v>360</v>
      </c>
      <c r="F13" s="7" t="s">
        <v>51</v>
      </c>
      <c r="G13" t="s">
        <v>47</v>
      </c>
      <c r="H13"/>
      <c r="I13"/>
      <c r="J13"/>
      <c r="K13"/>
      <c r="L13"/>
      <c r="N13"/>
      <c r="O13"/>
      <c r="P13"/>
    </row>
    <row r="14" spans="1:17" x14ac:dyDescent="0.2">
      <c r="A14" s="7" t="s">
        <v>55</v>
      </c>
      <c r="B14" s="2">
        <v>300</v>
      </c>
      <c r="C14" s="2">
        <v>150</v>
      </c>
      <c r="D14" s="6">
        <f>F46</f>
        <v>33</v>
      </c>
      <c r="E14" s="5">
        <f>E28</f>
        <v>110</v>
      </c>
      <c r="F14" s="42"/>
      <c r="G14" s="43"/>
      <c r="H14"/>
      <c r="I14"/>
      <c r="J14"/>
      <c r="K14"/>
      <c r="L14"/>
      <c r="N14"/>
      <c r="O14"/>
      <c r="P14"/>
    </row>
    <row r="15" spans="1:17" x14ac:dyDescent="0.2">
      <c r="A15" s="17" t="s">
        <v>7</v>
      </c>
      <c r="B15" s="5" t="s">
        <v>8</v>
      </c>
      <c r="C15" s="2">
        <v>11</v>
      </c>
      <c r="D15" s="5">
        <f>C15</f>
        <v>11</v>
      </c>
      <c r="E15" s="5">
        <f>E31</f>
        <v>11</v>
      </c>
      <c r="F15" s="42" t="s">
        <v>45</v>
      </c>
      <c r="G15" s="43"/>
      <c r="H15"/>
      <c r="I15"/>
      <c r="J15"/>
      <c r="K15"/>
      <c r="L15"/>
      <c r="N15"/>
      <c r="O15"/>
      <c r="P15"/>
    </row>
    <row r="16" spans="1:17" x14ac:dyDescent="0.2">
      <c r="F16" s="16"/>
      <c r="G16" s="16"/>
      <c r="H16" s="16"/>
      <c r="I16"/>
      <c r="J16"/>
      <c r="K16"/>
      <c r="L16"/>
      <c r="N16"/>
      <c r="O16"/>
      <c r="P16"/>
    </row>
    <row r="17" spans="1:16" x14ac:dyDescent="0.2">
      <c r="A17" s="18" t="s">
        <v>33</v>
      </c>
      <c r="B17" s="15"/>
      <c r="C17" s="15"/>
      <c r="D17" s="15"/>
      <c r="E17" s="15"/>
      <c r="F17" s="15"/>
      <c r="H17" s="16"/>
      <c r="I17" s="16"/>
      <c r="J17" s="16"/>
      <c r="K17"/>
      <c r="L17"/>
      <c r="N17"/>
      <c r="O17"/>
      <c r="P17"/>
    </row>
    <row r="18" spans="1:16" ht="51" x14ac:dyDescent="0.2">
      <c r="A18" s="19" t="s">
        <v>20</v>
      </c>
      <c r="B18" s="20" t="s">
        <v>40</v>
      </c>
      <c r="C18" s="20" t="s">
        <v>41</v>
      </c>
      <c r="D18" s="20" t="s">
        <v>34</v>
      </c>
      <c r="E18" s="20" t="s">
        <v>35</v>
      </c>
      <c r="H18"/>
      <c r="I18"/>
      <c r="J18"/>
      <c r="K18"/>
      <c r="L18"/>
      <c r="N18"/>
      <c r="O18"/>
      <c r="P18"/>
    </row>
    <row r="19" spans="1:16" x14ac:dyDescent="0.2">
      <c r="A19" s="17" t="str">
        <f>CONCATENATE("Wapening ",A13)</f>
        <v>Wapening Series 600 6F2 + R'cel + E'grid</v>
      </c>
      <c r="B19" s="2">
        <v>250</v>
      </c>
      <c r="C19" s="2">
        <v>1300</v>
      </c>
      <c r="D19" s="8">
        <v>10</v>
      </c>
      <c r="E19" s="8">
        <v>4.5</v>
      </c>
      <c r="F19" s="16"/>
      <c r="H19"/>
      <c r="I19"/>
      <c r="J19"/>
      <c r="K19"/>
      <c r="L19"/>
      <c r="N19"/>
      <c r="O19"/>
      <c r="P19"/>
    </row>
    <row r="20" spans="1:16" x14ac:dyDescent="0.2">
      <c r="A20" s="17" t="str">
        <f>CONCATENATE("Wapening ",A14)</f>
        <v>Wapening Series 600 6F2 + R'cel + E'grid</v>
      </c>
      <c r="B20" s="2">
        <v>300</v>
      </c>
      <c r="C20" s="2">
        <v>1600</v>
      </c>
      <c r="D20" s="8">
        <v>10</v>
      </c>
      <c r="E20" s="8">
        <v>4.8</v>
      </c>
      <c r="F20" s="16"/>
      <c r="H20"/>
      <c r="I20"/>
      <c r="J20"/>
      <c r="K20"/>
      <c r="L20"/>
      <c r="N20"/>
      <c r="O20"/>
      <c r="P20"/>
    </row>
    <row r="21" spans="1:16" x14ac:dyDescent="0.2">
      <c r="F21" s="16"/>
      <c r="G21" s="16"/>
      <c r="H21" s="16"/>
      <c r="I21"/>
      <c r="J21"/>
      <c r="K21"/>
      <c r="L21"/>
      <c r="N21"/>
      <c r="O21"/>
      <c r="P21"/>
    </row>
    <row r="22" spans="1:16" x14ac:dyDescent="0.2">
      <c r="A22" s="18" t="s">
        <v>27</v>
      </c>
      <c r="B22" s="15"/>
      <c r="C22" s="15"/>
      <c r="D22" s="15"/>
      <c r="E22" s="15"/>
      <c r="F22" s="15"/>
      <c r="G22" s="16"/>
      <c r="H22" s="16"/>
      <c r="I22"/>
      <c r="J22"/>
      <c r="K22"/>
      <c r="L22"/>
      <c r="N22"/>
      <c r="O22"/>
      <c r="P22"/>
    </row>
    <row r="23" spans="1:16" x14ac:dyDescent="0.2">
      <c r="A23" s="19" t="s">
        <v>20</v>
      </c>
      <c r="B23" s="21" t="s">
        <v>6</v>
      </c>
      <c r="C23" s="21" t="s">
        <v>1</v>
      </c>
      <c r="D23" s="21" t="s">
        <v>18</v>
      </c>
      <c r="E23" s="21" t="s">
        <v>17</v>
      </c>
      <c r="F23" s="15"/>
      <c r="H23" s="16"/>
      <c r="I23" s="16"/>
      <c r="J23" s="16"/>
      <c r="K23"/>
      <c r="L23"/>
      <c r="N23"/>
      <c r="O23"/>
      <c r="P23"/>
    </row>
    <row r="24" spans="1:16" x14ac:dyDescent="0.2">
      <c r="A24" s="17" t="str">
        <f>A12</f>
        <v>Beton + fundering + series 800</v>
      </c>
      <c r="B24" s="5">
        <f>B12</f>
        <v>1050</v>
      </c>
      <c r="C24" s="5">
        <f>C12</f>
        <v>5000</v>
      </c>
      <c r="D24" s="5" t="s">
        <v>8</v>
      </c>
      <c r="E24" s="5">
        <f>C24</f>
        <v>5000</v>
      </c>
      <c r="F24" s="15"/>
      <c r="H24"/>
      <c r="I24"/>
      <c r="J24"/>
      <c r="K24"/>
      <c r="L24"/>
      <c r="N24"/>
      <c r="O24"/>
      <c r="P24"/>
    </row>
    <row r="25" spans="1:16" x14ac:dyDescent="0.2">
      <c r="A25" s="17" t="str">
        <f>CONCATENATE(A$13," ongewapend hoog")</f>
        <v>Series 600 6F2 + R'cel + E'grid ongewapend hoog</v>
      </c>
      <c r="B25" s="5">
        <f>IF(B19=B13,0,IF(B19=0,B13,IF(B12+B13=C19,B13-B19,IF(B12+B19=C19,0,C19-B12-B19))))</f>
        <v>0</v>
      </c>
      <c r="C25" s="6">
        <f>IF(F13="&lt; vast",C13,IF(B25=0,0,E46))</f>
        <v>0</v>
      </c>
      <c r="D25" s="22">
        <f>IF(B25=0,D26,ROUND(D28/F61,0))</f>
        <v>105</v>
      </c>
      <c r="E25" s="23">
        <f>D51</f>
        <v>360</v>
      </c>
      <c r="F25" s="24"/>
      <c r="H25"/>
      <c r="I25"/>
      <c r="J25"/>
      <c r="K25"/>
      <c r="L25"/>
      <c r="N25"/>
      <c r="O25"/>
      <c r="P25"/>
    </row>
    <row r="26" spans="1:16" x14ac:dyDescent="0.2">
      <c r="A26" s="17" t="str">
        <f>CONCATENATE(A$13," gewapend")</f>
        <v>Series 600 6F2 + R'cel + E'grid gewapend</v>
      </c>
      <c r="B26" s="5">
        <f>IF(B19=0,0,B19)</f>
        <v>250</v>
      </c>
      <c r="C26" s="5">
        <f>IF(B26=0,0,ROUND(MIN(D19*D27,E19*C13),0))</f>
        <v>360</v>
      </c>
      <c r="D26" s="5">
        <f>IF(B26=0,D27,ROUND(D28/F62,0))</f>
        <v>105</v>
      </c>
      <c r="E26" s="25"/>
      <c r="F26" s="24"/>
      <c r="H26"/>
      <c r="I26"/>
      <c r="J26"/>
      <c r="K26"/>
      <c r="L26"/>
      <c r="N26"/>
      <c r="O26"/>
      <c r="P26"/>
    </row>
    <row r="27" spans="1:16" x14ac:dyDescent="0.2">
      <c r="A27" s="17" t="str">
        <f>CONCATENATE(A$13," ongewapend laag")</f>
        <v>Series 600 6F2 + R'cel + E'grid ongewapend laag</v>
      </c>
      <c r="B27" s="5">
        <f>IF(OR(B19=0,B12+B13=C19),0,IF(B12+B19=C19,B13-B19,B12+B13-C19))</f>
        <v>0</v>
      </c>
      <c r="C27" s="6">
        <f>IF(B27=0,0,D46)</f>
        <v>0</v>
      </c>
      <c r="D27" s="5">
        <f>IF(B27=0,D28,ROUND(D28/F63,0))</f>
        <v>36</v>
      </c>
      <c r="E27" s="4"/>
      <c r="F27" s="24"/>
      <c r="H27" s="16"/>
      <c r="I27" s="16"/>
      <c r="J27" s="16"/>
      <c r="K27"/>
      <c r="L27"/>
      <c r="N27"/>
      <c r="O27"/>
      <c r="P27"/>
    </row>
    <row r="28" spans="1:16" x14ac:dyDescent="0.2">
      <c r="A28" s="17" t="str">
        <f>CONCATENATE(A$14," ongewapend hoog")</f>
        <v>Series 600 6F2 + R'cel + E'grid ongewapend hoog</v>
      </c>
      <c r="B28" s="5">
        <f>IF(OR(B14=B20,B14=0),0,IF(B20=0,B14,IF(B12+B13+B14=C20,B14-B20,IF(B12+B13+B20=C20,0,C20-B12-B13-B20))))</f>
        <v>0</v>
      </c>
      <c r="C28" s="6">
        <f>IF(B28=0,0,C46)</f>
        <v>0</v>
      </c>
      <c r="D28" s="26">
        <f>IF(B28=0,D29,ROUND(C31/F64,0))</f>
        <v>36</v>
      </c>
      <c r="E28" s="23">
        <f>D54</f>
        <v>110</v>
      </c>
      <c r="F28" s="24"/>
      <c r="H28" s="27"/>
      <c r="I28" s="16"/>
      <c r="J28" s="16"/>
      <c r="K28"/>
      <c r="L28"/>
      <c r="N28"/>
      <c r="O28"/>
      <c r="P28"/>
    </row>
    <row r="29" spans="1:16" x14ac:dyDescent="0.2">
      <c r="A29" s="17" t="str">
        <f>CONCATENATE(A$14," gewapend")</f>
        <v>Series 600 6F2 + R'cel + E'grid gewapend</v>
      </c>
      <c r="B29" s="5">
        <f>IF(B20="",0,B20)</f>
        <v>300</v>
      </c>
      <c r="C29" s="5">
        <f>IF(B29=0,0,IF(B30=0,ROUND(MIN(D20*C31,E20*C14),0),ROUND(MIN(D20*D30,E20*C14),0)))</f>
        <v>110</v>
      </c>
      <c r="D29" s="5">
        <f>IF(B29=0,D30,ROUND(C31/F65,0))</f>
        <v>36</v>
      </c>
      <c r="E29" s="25"/>
      <c r="F29" s="24"/>
      <c r="H29" s="16"/>
      <c r="I29" s="16"/>
      <c r="J29" s="16"/>
      <c r="K29"/>
      <c r="L29"/>
      <c r="N29"/>
      <c r="O29"/>
      <c r="P29"/>
    </row>
    <row r="30" spans="1:16" x14ac:dyDescent="0.2">
      <c r="A30" s="17" t="str">
        <f>CONCATENATE(A$14," ongewapend laag")</f>
        <v>Series 600 6F2 + R'cel + E'grid ongewapend laag</v>
      </c>
      <c r="B30" s="5">
        <f>IF(OR(B20="",B12+B13+B14=C20),0,IF(B12+B13+B20=C20,B14-B20,B12+B13+B14-C20))</f>
        <v>0</v>
      </c>
      <c r="C30" s="6">
        <f>IF(B30=0,0,B46)</f>
        <v>0</v>
      </c>
      <c r="D30" s="6">
        <f>IF(B30=0,C31,ROUND(C31/F66,0))</f>
        <v>11</v>
      </c>
      <c r="E30" s="4"/>
      <c r="F30" s="24"/>
      <c r="H30" s="16"/>
      <c r="I30" s="16"/>
      <c r="J30" s="16"/>
      <c r="K30"/>
      <c r="L30"/>
      <c r="N30"/>
      <c r="O30"/>
      <c r="P30"/>
    </row>
    <row r="31" spans="1:16" x14ac:dyDescent="0.2">
      <c r="A31" s="17" t="s">
        <v>7</v>
      </c>
      <c r="B31" s="5" t="s">
        <v>8</v>
      </c>
      <c r="C31" s="5">
        <f>C15</f>
        <v>11</v>
      </c>
      <c r="D31" s="5">
        <f>C31</f>
        <v>11</v>
      </c>
      <c r="E31" s="5">
        <f>D31</f>
        <v>11</v>
      </c>
      <c r="F31" s="15"/>
      <c r="H31" s="16"/>
      <c r="I31" s="16"/>
      <c r="J31" s="16"/>
      <c r="K31"/>
      <c r="L31"/>
      <c r="N31"/>
      <c r="O31"/>
      <c r="P31"/>
    </row>
    <row r="32" spans="1:16" x14ac:dyDescent="0.2">
      <c r="B32" s="15"/>
      <c r="C32" s="15"/>
      <c r="D32" s="15"/>
      <c r="E32" s="15"/>
      <c r="F32" s="15"/>
      <c r="H32" s="16"/>
      <c r="I32" s="16"/>
      <c r="J32" s="16"/>
      <c r="K32"/>
      <c r="L32"/>
      <c r="N32"/>
      <c r="O32"/>
      <c r="P32"/>
    </row>
    <row r="33" spans="1:16" s="18" customFormat="1" x14ac:dyDescent="0.2">
      <c r="A33" s="18" t="s">
        <v>25</v>
      </c>
      <c r="B33" s="28"/>
      <c r="C33" s="28"/>
      <c r="D33" s="28"/>
      <c r="E33" s="28"/>
      <c r="F33" s="28"/>
      <c r="H33" s="29"/>
      <c r="I33" s="29"/>
      <c r="J33" s="29"/>
    </row>
    <row r="34" spans="1:16" s="18" customFormat="1" x14ac:dyDescent="0.2">
      <c r="A34" s="18" t="s">
        <v>3</v>
      </c>
      <c r="B34" s="28"/>
      <c r="C34" s="28"/>
      <c r="D34" s="28"/>
      <c r="E34" s="28"/>
      <c r="F34" s="28"/>
      <c r="H34" s="29"/>
      <c r="I34" s="29"/>
      <c r="J34" s="29"/>
    </row>
    <row r="35" spans="1:16" s="31" customFormat="1" ht="51" x14ac:dyDescent="0.2">
      <c r="A35" s="19" t="s">
        <v>24</v>
      </c>
      <c r="B35" s="20" t="str">
        <f>CONCATENATE(A14," laag")</f>
        <v>Series 600 6F2 + R'cel + E'grid laag</v>
      </c>
      <c r="C35" s="20" t="str">
        <f>CONCATENATE(A14," hoog")</f>
        <v>Series 600 6F2 + R'cel + E'grid hoog</v>
      </c>
      <c r="D35" s="20" t="str">
        <f>CONCATENATE(A13," laag")</f>
        <v>Series 600 6F2 + R'cel + E'grid laag</v>
      </c>
      <c r="E35" s="20" t="str">
        <f>CONCATENATE(A13," hoog")</f>
        <v>Series 600 6F2 + R'cel + E'grid hoog</v>
      </c>
      <c r="F35" s="20" t="str">
        <f>CONCATENATE(A14," ongewapend")</f>
        <v>Series 600 6F2 + R'cel + E'grid ongewapend</v>
      </c>
      <c r="G35" s="20" t="str">
        <f>CONCATENATE(A13," ongewapend")</f>
        <v>Series 600 6F2 + R'cel + E'grid ongewapend</v>
      </c>
      <c r="H35" s="30"/>
      <c r="I35" s="30"/>
      <c r="J35" s="30"/>
      <c r="L35" s="30"/>
      <c r="M35" s="30"/>
      <c r="N35" s="30"/>
    </row>
    <row r="36" spans="1:16" x14ac:dyDescent="0.2">
      <c r="A36" s="17" t="s">
        <v>23</v>
      </c>
      <c r="B36" s="5">
        <f>B30</f>
        <v>0</v>
      </c>
      <c r="C36" s="5">
        <f>B28</f>
        <v>0</v>
      </c>
      <c r="D36" s="5">
        <f>B27</f>
        <v>0</v>
      </c>
      <c r="E36" s="5">
        <f>B25</f>
        <v>0</v>
      </c>
      <c r="F36" s="5">
        <f>B14</f>
        <v>300</v>
      </c>
      <c r="G36" s="5">
        <f>B13</f>
        <v>250</v>
      </c>
      <c r="H36" s="16"/>
      <c r="I36" s="16"/>
      <c r="J36" s="16"/>
      <c r="K36"/>
      <c r="L36" s="16"/>
      <c r="M36" s="16"/>
      <c r="O36"/>
      <c r="P36"/>
    </row>
    <row r="37" spans="1:16" x14ac:dyDescent="0.2">
      <c r="A37" s="32" t="s">
        <v>16</v>
      </c>
      <c r="B37" s="23">
        <f>C31</f>
        <v>11</v>
      </c>
      <c r="C37" s="23">
        <f>D29</f>
        <v>36</v>
      </c>
      <c r="D37" s="23">
        <f>D28</f>
        <v>36</v>
      </c>
      <c r="E37" s="23">
        <f>D26</f>
        <v>105</v>
      </c>
      <c r="F37" s="5">
        <f>C15</f>
        <v>11</v>
      </c>
      <c r="G37" s="6">
        <f>C15/F67</f>
        <v>19.938251859782092</v>
      </c>
      <c r="H37" s="16"/>
      <c r="I37" s="16"/>
      <c r="J37" s="16"/>
      <c r="K37"/>
      <c r="L37" s="16"/>
      <c r="M37" s="16"/>
      <c r="O37"/>
      <c r="P37"/>
    </row>
    <row r="38" spans="1:16" x14ac:dyDescent="0.2">
      <c r="A38" s="17" t="s">
        <v>21</v>
      </c>
      <c r="B38" s="5">
        <f>C14</f>
        <v>150</v>
      </c>
      <c r="C38" s="5">
        <f>C14</f>
        <v>150</v>
      </c>
      <c r="D38" s="5">
        <f>C13</f>
        <v>150</v>
      </c>
      <c r="E38" s="5">
        <f>C13</f>
        <v>150</v>
      </c>
      <c r="F38" s="5">
        <f>C14</f>
        <v>150</v>
      </c>
      <c r="G38" s="5">
        <f>C13</f>
        <v>150</v>
      </c>
      <c r="H38" s="16"/>
      <c r="I38" s="16"/>
      <c r="J38" s="16"/>
      <c r="K38"/>
      <c r="L38" s="16"/>
      <c r="M38" s="16"/>
      <c r="O38"/>
      <c r="P38"/>
    </row>
    <row r="39" spans="1:16" x14ac:dyDescent="0.2">
      <c r="A39" s="17" t="s">
        <v>22</v>
      </c>
      <c r="B39" s="6">
        <f t="shared" ref="B39:G39" si="0">B37*2^(B36/125)</f>
        <v>11</v>
      </c>
      <c r="C39" s="6">
        <f t="shared" si="0"/>
        <v>36</v>
      </c>
      <c r="D39" s="6">
        <f t="shared" si="0"/>
        <v>36</v>
      </c>
      <c r="E39" s="6">
        <f t="shared" si="0"/>
        <v>105</v>
      </c>
      <c r="F39" s="6">
        <f t="shared" si="0"/>
        <v>58.058348074007341</v>
      </c>
      <c r="G39" s="6">
        <f t="shared" si="0"/>
        <v>79.753007439128368</v>
      </c>
      <c r="H39" s="16"/>
      <c r="I39" s="16"/>
      <c r="J39" s="16"/>
      <c r="K39"/>
      <c r="L39" s="16"/>
      <c r="M39" s="16"/>
      <c r="O39"/>
      <c r="P39"/>
    </row>
    <row r="40" spans="1:16" x14ac:dyDescent="0.2">
      <c r="A40" s="17" t="s">
        <v>2</v>
      </c>
      <c r="B40" s="33">
        <f>(B39/B37)^(1/5)</f>
        <v>1</v>
      </c>
      <c r="C40" s="33">
        <f>(C39/C37)^(1/5)</f>
        <v>1</v>
      </c>
      <c r="D40" s="33">
        <f t="shared" ref="D40:E40" si="1">(D39/D37)^(1/5)</f>
        <v>1</v>
      </c>
      <c r="E40" s="33">
        <f t="shared" si="1"/>
        <v>1</v>
      </c>
      <c r="F40" s="33">
        <f>(F39/F37)^(1/5)</f>
        <v>1.3947436663504054</v>
      </c>
      <c r="G40" s="33">
        <f>(G39/G37)^(1/5)</f>
        <v>1.3195079107728942</v>
      </c>
      <c r="H40" s="16"/>
      <c r="I40" s="16"/>
      <c r="J40" s="16"/>
      <c r="K40"/>
      <c r="L40" s="16"/>
      <c r="M40" s="16"/>
      <c r="O40"/>
      <c r="P40"/>
    </row>
    <row r="41" spans="1:16" x14ac:dyDescent="0.2">
      <c r="A41" s="34" t="s">
        <v>11</v>
      </c>
      <c r="B41" s="35">
        <f t="shared" ref="B41:G41" si="2">MIN(B40*B42,B38)</f>
        <v>11</v>
      </c>
      <c r="C41" s="35">
        <f t="shared" si="2"/>
        <v>36</v>
      </c>
      <c r="D41" s="35">
        <f t="shared" si="2"/>
        <v>36</v>
      </c>
      <c r="E41" s="35">
        <f t="shared" si="2"/>
        <v>105</v>
      </c>
      <c r="F41" s="35">
        <f t="shared" si="2"/>
        <v>58.058348074007327</v>
      </c>
      <c r="G41" s="35">
        <f t="shared" si="2"/>
        <v>79.753007439128353</v>
      </c>
      <c r="H41" s="16"/>
      <c r="I41" s="16"/>
      <c r="J41" s="16"/>
      <c r="K41"/>
      <c r="L41" s="16"/>
      <c r="M41" s="16"/>
      <c r="O41"/>
      <c r="P41"/>
    </row>
    <row r="42" spans="1:16" x14ac:dyDescent="0.2">
      <c r="A42" s="34" t="s">
        <v>12</v>
      </c>
      <c r="B42" s="35">
        <f t="shared" ref="B42:G42" si="3">MIN(B40*B43,B38)</f>
        <v>11</v>
      </c>
      <c r="C42" s="35">
        <f t="shared" si="3"/>
        <v>36</v>
      </c>
      <c r="D42" s="35">
        <f t="shared" si="3"/>
        <v>36</v>
      </c>
      <c r="E42" s="35">
        <f t="shared" si="3"/>
        <v>105</v>
      </c>
      <c r="F42" s="35">
        <f t="shared" si="3"/>
        <v>41.626536455926207</v>
      </c>
      <c r="G42" s="35">
        <f t="shared" si="3"/>
        <v>60.441477302256935</v>
      </c>
      <c r="H42" s="16"/>
      <c r="I42" s="16"/>
      <c r="J42" s="16"/>
      <c r="K42"/>
      <c r="L42" s="16"/>
      <c r="M42" s="16"/>
      <c r="O42"/>
      <c r="P42"/>
    </row>
    <row r="43" spans="1:16" x14ac:dyDescent="0.2">
      <c r="A43" s="34" t="s">
        <v>13</v>
      </c>
      <c r="B43" s="35">
        <f t="shared" ref="B43:G43" si="4">MIN(B40*B44,B38)</f>
        <v>11</v>
      </c>
      <c r="C43" s="35">
        <f t="shared" si="4"/>
        <v>36</v>
      </c>
      <c r="D43" s="35">
        <f t="shared" si="4"/>
        <v>36</v>
      </c>
      <c r="E43" s="35">
        <f t="shared" si="4"/>
        <v>105</v>
      </c>
      <c r="F43" s="35">
        <f t="shared" si="4"/>
        <v>29.845295203848774</v>
      </c>
      <c r="G43" s="35">
        <f t="shared" si="4"/>
        <v>45.80607422569652</v>
      </c>
      <c r="H43" s="16"/>
      <c r="I43" s="16"/>
      <c r="J43" s="16"/>
      <c r="K43"/>
      <c r="L43"/>
      <c r="N43"/>
      <c r="O43"/>
      <c r="P43"/>
    </row>
    <row r="44" spans="1:16" x14ac:dyDescent="0.2">
      <c r="A44" s="34" t="s">
        <v>14</v>
      </c>
      <c r="B44" s="35">
        <f t="shared" ref="B44:G44" si="5">MIN(B40*B45,B38)</f>
        <v>11</v>
      </c>
      <c r="C44" s="35">
        <f t="shared" si="5"/>
        <v>36</v>
      </c>
      <c r="D44" s="35">
        <f t="shared" si="5"/>
        <v>36</v>
      </c>
      <c r="E44" s="35">
        <f t="shared" si="5"/>
        <v>105</v>
      </c>
      <c r="F44" s="35">
        <f t="shared" si="5"/>
        <v>21.398408843070278</v>
      </c>
      <c r="G44" s="35">
        <f t="shared" si="5"/>
        <v>34.714512775346584</v>
      </c>
      <c r="H44" s="16"/>
      <c r="I44" s="16"/>
      <c r="J44" s="16"/>
      <c r="K44"/>
      <c r="L44"/>
      <c r="N44"/>
      <c r="O44"/>
      <c r="P44"/>
    </row>
    <row r="45" spans="1:16" x14ac:dyDescent="0.2">
      <c r="A45" s="34" t="s">
        <v>15</v>
      </c>
      <c r="B45" s="35">
        <f>MIN(B40*B37,B38)</f>
        <v>11</v>
      </c>
      <c r="C45" s="35">
        <f>MIN(C40*C37,C38)</f>
        <v>36</v>
      </c>
      <c r="D45" s="35">
        <f t="shared" ref="D45:E45" si="6">MIN(D40*D37,D38)</f>
        <v>36</v>
      </c>
      <c r="E45" s="35">
        <f t="shared" si="6"/>
        <v>105</v>
      </c>
      <c r="F45" s="35">
        <f>MIN(F40*F37,F38)</f>
        <v>15.342180329854459</v>
      </c>
      <c r="G45" s="35">
        <f>MIN(G40*G37,G38)</f>
        <v>26.30868105596484</v>
      </c>
      <c r="H45" s="16"/>
      <c r="I45" s="16"/>
      <c r="J45" s="16"/>
      <c r="K45"/>
      <c r="L45"/>
      <c r="N45"/>
      <c r="O45"/>
      <c r="P45"/>
    </row>
    <row r="46" spans="1:16" x14ac:dyDescent="0.2">
      <c r="A46" s="34" t="s">
        <v>10</v>
      </c>
      <c r="B46" s="35">
        <f>ROUND(AVERAGE(B41:B45),0)</f>
        <v>11</v>
      </c>
      <c r="C46" s="35">
        <f t="shared" ref="C46:E46" si="7">ROUND(AVERAGE(C41:C45),0)</f>
        <v>36</v>
      </c>
      <c r="D46" s="35">
        <f t="shared" si="7"/>
        <v>36</v>
      </c>
      <c r="E46" s="35">
        <f t="shared" si="7"/>
        <v>105</v>
      </c>
      <c r="F46" s="35">
        <f>ROUND(AVERAGE(F41:F45),0)</f>
        <v>33</v>
      </c>
      <c r="G46" s="35">
        <f>ROUND(AVERAGE(G41:G45),0)</f>
        <v>49</v>
      </c>
      <c r="H46" s="16"/>
      <c r="I46" s="16"/>
      <c r="J46" s="16"/>
      <c r="K46"/>
      <c r="L46"/>
      <c r="N46"/>
      <c r="O46"/>
      <c r="P46"/>
    </row>
    <row r="47" spans="1:16" x14ac:dyDescent="0.2">
      <c r="B47" s="15"/>
      <c r="C47" s="15"/>
      <c r="D47" s="15"/>
      <c r="E47" s="15"/>
      <c r="F47" s="15"/>
      <c r="H47" s="16"/>
      <c r="I47" s="16"/>
      <c r="J47" s="16"/>
      <c r="K47"/>
      <c r="L47"/>
      <c r="N47"/>
      <c r="O47"/>
      <c r="P47"/>
    </row>
    <row r="48" spans="1:16" s="18" customFormat="1" x14ac:dyDescent="0.2">
      <c r="A48" s="36" t="s">
        <v>26</v>
      </c>
      <c r="B48" s="28"/>
      <c r="C48" s="28"/>
      <c r="D48" s="28"/>
      <c r="E48" s="28"/>
      <c r="F48" s="28"/>
      <c r="H48" s="29"/>
      <c r="I48" s="29"/>
      <c r="J48" s="29"/>
    </row>
    <row r="49" spans="1:16" s="18" customFormat="1" x14ac:dyDescent="0.2">
      <c r="A49" s="36" t="s">
        <v>46</v>
      </c>
      <c r="B49" s="28"/>
      <c r="C49" s="28"/>
      <c r="D49" s="28"/>
      <c r="E49" s="28"/>
      <c r="F49" s="28"/>
      <c r="H49" s="29"/>
      <c r="I49" s="29"/>
      <c r="J49" s="29"/>
    </row>
    <row r="50" spans="1:16" x14ac:dyDescent="0.2">
      <c r="A50" s="37" t="s">
        <v>20</v>
      </c>
      <c r="B50" s="21" t="s">
        <v>6</v>
      </c>
      <c r="C50" s="21" t="s">
        <v>1</v>
      </c>
      <c r="D50" s="21" t="s">
        <v>17</v>
      </c>
      <c r="E50" s="15"/>
      <c r="F50" s="15"/>
      <c r="H50" s="16"/>
      <c r="I50" s="16"/>
      <c r="J50" s="16"/>
      <c r="K50"/>
      <c r="L50"/>
      <c r="N50"/>
      <c r="O50"/>
      <c r="P50"/>
    </row>
    <row r="51" spans="1:16" x14ac:dyDescent="0.2">
      <c r="A51" s="17" t="str">
        <f>CONCATENATE(A$13," ongewapend hoog en dieper")</f>
        <v>Series 600 6F2 + R'cel + E'grid ongewapend hoog en dieper</v>
      </c>
      <c r="B51" s="5">
        <f t="shared" ref="B51:B56" si="8">IF(B25="",0,B25)</f>
        <v>0</v>
      </c>
      <c r="C51" s="38">
        <f t="shared" ref="C51:C56" si="9">IF(B51&gt;0,C25,0)</f>
        <v>0</v>
      </c>
      <c r="D51" s="5">
        <f>ROUND(((B51*C51^(1/3)+B52*C52^(1/3)+B53*C53^(1/3))/(B51+B52+B53))^3,0)</f>
        <v>360</v>
      </c>
      <c r="E51" s="15"/>
      <c r="F51" s="15"/>
      <c r="H51" s="16"/>
      <c r="I51" s="16"/>
      <c r="J51" s="16"/>
      <c r="K51"/>
      <c r="L51"/>
      <c r="N51"/>
      <c r="O51"/>
      <c r="P51"/>
    </row>
    <row r="52" spans="1:16" x14ac:dyDescent="0.2">
      <c r="A52" s="17" t="str">
        <f>CONCATENATE(A$13," gewapend en dieper")</f>
        <v>Series 600 6F2 + R'cel + E'grid gewapend en dieper</v>
      </c>
      <c r="B52" s="5">
        <f t="shared" si="8"/>
        <v>250</v>
      </c>
      <c r="C52" s="38">
        <f t="shared" si="9"/>
        <v>360</v>
      </c>
      <c r="D52" s="5">
        <f>IF(B52+B53=0,0,IF(B53=0,C52,ROUND(((B52*C52^(1/3)+B53*C53^(1/3))/(B52+B53))^3,0)))</f>
        <v>360</v>
      </c>
      <c r="E52" s="15"/>
      <c r="F52" s="15"/>
      <c r="H52" s="16"/>
      <c r="I52" s="16"/>
      <c r="J52" s="16"/>
      <c r="K52"/>
      <c r="L52"/>
      <c r="N52"/>
      <c r="O52"/>
      <c r="P52"/>
    </row>
    <row r="53" spans="1:16" x14ac:dyDescent="0.2">
      <c r="A53" s="17" t="str">
        <f>CONCATENATE(A$13," ongewapend laag")</f>
        <v>Series 600 6F2 + R'cel + E'grid ongewapend laag</v>
      </c>
      <c r="B53" s="5">
        <f t="shared" si="8"/>
        <v>0</v>
      </c>
      <c r="C53" s="38">
        <f t="shared" si="9"/>
        <v>0</v>
      </c>
      <c r="D53" s="5">
        <f>C53</f>
        <v>0</v>
      </c>
      <c r="E53" s="15"/>
      <c r="F53" s="15"/>
      <c r="H53" s="16"/>
      <c r="I53" s="16"/>
      <c r="J53" s="16"/>
      <c r="K53"/>
      <c r="L53"/>
      <c r="N53"/>
      <c r="O53"/>
      <c r="P53"/>
    </row>
    <row r="54" spans="1:16" x14ac:dyDescent="0.2">
      <c r="A54" s="17" t="str">
        <f>CONCATENATE(A$14," ongewapend hoog en dieper")</f>
        <v>Series 600 6F2 + R'cel + E'grid ongewapend hoog en dieper</v>
      </c>
      <c r="B54" s="5">
        <f t="shared" si="8"/>
        <v>0</v>
      </c>
      <c r="C54" s="38">
        <f t="shared" si="9"/>
        <v>0</v>
      </c>
      <c r="D54" s="5">
        <f>IF(B54+B55+B56=0,0,ROUND(((B54*C54^(1/3)+B55*C55^(1/3)+B56*C56^(1/3))/(B54+B55+B56))^3,0))</f>
        <v>110</v>
      </c>
      <c r="E54" s="15"/>
      <c r="F54" s="15"/>
      <c r="H54" s="16"/>
      <c r="I54" s="16"/>
      <c r="J54" s="16"/>
      <c r="K54"/>
      <c r="L54"/>
      <c r="N54"/>
      <c r="O54"/>
      <c r="P54"/>
    </row>
    <row r="55" spans="1:16" x14ac:dyDescent="0.2">
      <c r="A55" s="17" t="str">
        <f>CONCATENATE(A$14," gewapend en dieper")</f>
        <v>Series 600 6F2 + R'cel + E'grid gewapend en dieper</v>
      </c>
      <c r="B55" s="5">
        <f t="shared" si="8"/>
        <v>300</v>
      </c>
      <c r="C55" s="38">
        <f t="shared" si="9"/>
        <v>110</v>
      </c>
      <c r="D55" s="5">
        <f>IF(B55+B56=0,0,IF(B56=0,C55,ROUND(((B55*C55^(1/3)+B56*C56^(1/3))/(B55+B56))^3,0)))</f>
        <v>110</v>
      </c>
      <c r="E55" s="15"/>
      <c r="F55" s="15"/>
      <c r="H55" s="16"/>
      <c r="I55" s="16"/>
      <c r="J55" s="16"/>
      <c r="K55"/>
      <c r="L55"/>
      <c r="N55"/>
      <c r="O55"/>
      <c r="P55"/>
    </row>
    <row r="56" spans="1:16" x14ac:dyDescent="0.2">
      <c r="A56" s="17" t="str">
        <f>CONCATENATE(A$14," ongewapend laag")</f>
        <v>Series 600 6F2 + R'cel + E'grid ongewapend laag</v>
      </c>
      <c r="B56" s="5">
        <f t="shared" si="8"/>
        <v>0</v>
      </c>
      <c r="C56" s="38">
        <f t="shared" si="9"/>
        <v>0</v>
      </c>
      <c r="D56" s="5">
        <f>C56</f>
        <v>0</v>
      </c>
      <c r="E56" s="15"/>
      <c r="F56" s="15"/>
      <c r="H56" s="16"/>
      <c r="I56" s="16"/>
      <c r="J56" s="16"/>
      <c r="K56"/>
      <c r="L56"/>
      <c r="N56"/>
      <c r="O56"/>
      <c r="P56"/>
    </row>
    <row r="57" spans="1:16" x14ac:dyDescent="0.2">
      <c r="B57" s="15"/>
      <c r="C57" s="15"/>
      <c r="D57" s="15"/>
      <c r="E57" s="15"/>
      <c r="F57" s="15"/>
      <c r="H57" s="16"/>
      <c r="I57" s="16"/>
      <c r="J57" s="16"/>
      <c r="K57"/>
      <c r="L57"/>
      <c r="N57"/>
      <c r="O57"/>
      <c r="P57"/>
    </row>
    <row r="58" spans="1:16" s="18" customFormat="1" x14ac:dyDescent="0.2">
      <c r="A58" s="18" t="s">
        <v>28</v>
      </c>
      <c r="B58" s="28"/>
      <c r="C58" s="28"/>
      <c r="D58" s="28"/>
      <c r="E58" s="28"/>
      <c r="F58" s="28"/>
      <c r="H58" s="29"/>
      <c r="I58" s="29"/>
      <c r="J58" s="29"/>
    </row>
    <row r="59" spans="1:16" s="18" customFormat="1" x14ac:dyDescent="0.2">
      <c r="A59" s="18" t="s">
        <v>31</v>
      </c>
      <c r="B59" s="28"/>
      <c r="C59" s="28"/>
      <c r="D59" s="28"/>
      <c r="E59" s="28"/>
      <c r="F59" s="28"/>
      <c r="H59" s="29"/>
      <c r="I59" s="29"/>
      <c r="J59" s="29"/>
    </row>
    <row r="60" spans="1:16" s="31" customFormat="1" x14ac:dyDescent="0.2">
      <c r="A60" s="19" t="s">
        <v>20</v>
      </c>
      <c r="B60" s="21" t="s">
        <v>9</v>
      </c>
      <c r="C60" s="21" t="s">
        <v>6</v>
      </c>
      <c r="D60" s="21" t="s">
        <v>5</v>
      </c>
      <c r="E60" s="21" t="s">
        <v>4</v>
      </c>
      <c r="F60" s="21" t="s">
        <v>19</v>
      </c>
      <c r="I60" s="39"/>
      <c r="J60" s="30"/>
      <c r="K60" s="30"/>
    </row>
    <row r="61" spans="1:16" x14ac:dyDescent="0.2">
      <c r="A61" s="17" t="str">
        <f>CONCATENATE(A$13," ongewapend hoog en dieper")</f>
        <v>Series 600 6F2 + R'cel + E'grid ongewapend hoog en dieper</v>
      </c>
      <c r="B61" s="5">
        <v>150</v>
      </c>
      <c r="C61" s="5">
        <f>B25+B26+B27</f>
        <v>250</v>
      </c>
      <c r="D61" s="40">
        <f>IF(C61=0,"",B61/C61)</f>
        <v>0.6</v>
      </c>
      <c r="E61" s="40">
        <f>D51/D28</f>
        <v>10</v>
      </c>
      <c r="F61" s="40">
        <f>IF(D61="","",(B61/SQRT(B61^2+C61^2*E61^(2/3)))*(1-1/E61)+1/E61)</f>
        <v>0.34145698112038936</v>
      </c>
      <c r="H61"/>
      <c r="J61" s="16"/>
      <c r="K61" s="41"/>
      <c r="L61" s="41"/>
      <c r="N61"/>
      <c r="O61"/>
      <c r="P61"/>
    </row>
    <row r="62" spans="1:16" x14ac:dyDescent="0.2">
      <c r="A62" s="17" t="str">
        <f>CONCATENATE(A$13," gewapend en dieper")</f>
        <v>Series 600 6F2 + R'cel + E'grid gewapend en dieper</v>
      </c>
      <c r="B62" s="5">
        <v>150</v>
      </c>
      <c r="C62" s="5">
        <f>B26+B27</f>
        <v>250</v>
      </c>
      <c r="D62" s="40">
        <f t="shared" ref="D62:D67" si="10">IF(C62=0,"",B62/C62)</f>
        <v>0.6</v>
      </c>
      <c r="E62" s="40">
        <f>D52/D28</f>
        <v>10</v>
      </c>
      <c r="F62" s="40">
        <f t="shared" ref="F62:F67" si="11">IF(D62="","",(B62/SQRT(B62^2+C62^2*E62^(2/3)))*(1-1/E62)+1/E62)</f>
        <v>0.34145698112038936</v>
      </c>
      <c r="H62"/>
      <c r="J62" s="16"/>
      <c r="K62" s="41"/>
      <c r="L62" s="41"/>
      <c r="N62"/>
      <c r="O62"/>
      <c r="P62"/>
    </row>
    <row r="63" spans="1:16" x14ac:dyDescent="0.2">
      <c r="A63" s="17" t="str">
        <f>CONCATENATE(A$13," ongewapend laag")</f>
        <v>Series 600 6F2 + R'cel + E'grid ongewapend laag</v>
      </c>
      <c r="B63" s="5">
        <v>150</v>
      </c>
      <c r="C63" s="5">
        <f>B27</f>
        <v>0</v>
      </c>
      <c r="D63" s="40" t="str">
        <f t="shared" si="10"/>
        <v/>
      </c>
      <c r="E63" s="40">
        <f>D53/D28</f>
        <v>0</v>
      </c>
      <c r="F63" s="40" t="str">
        <f t="shared" si="11"/>
        <v/>
      </c>
      <c r="H63"/>
      <c r="J63" s="16"/>
      <c r="K63" s="41"/>
      <c r="L63" s="41"/>
      <c r="N63"/>
      <c r="O63"/>
      <c r="P63"/>
    </row>
    <row r="64" spans="1:16" x14ac:dyDescent="0.2">
      <c r="A64" s="17" t="str">
        <f>CONCATENATE(A$14," ongewapend hoog en dieper")</f>
        <v>Series 600 6F2 + R'cel + E'grid ongewapend hoog en dieper</v>
      </c>
      <c r="B64" s="5">
        <v>150</v>
      </c>
      <c r="C64" s="5">
        <f>B28+B29+B30</f>
        <v>300</v>
      </c>
      <c r="D64" s="40">
        <f t="shared" si="10"/>
        <v>0.5</v>
      </c>
      <c r="E64" s="40">
        <f>D54/C31</f>
        <v>10</v>
      </c>
      <c r="F64" s="40">
        <f t="shared" si="11"/>
        <v>0.30346398269064667</v>
      </c>
      <c r="H64"/>
      <c r="J64" s="16"/>
      <c r="K64" s="41"/>
      <c r="L64" s="41"/>
      <c r="N64"/>
      <c r="O64"/>
      <c r="P64"/>
    </row>
    <row r="65" spans="1:16" x14ac:dyDescent="0.2">
      <c r="A65" s="17" t="str">
        <f>CONCATENATE(A$14," gewapend en dieper")</f>
        <v>Series 600 6F2 + R'cel + E'grid gewapend en dieper</v>
      </c>
      <c r="B65" s="5">
        <v>150</v>
      </c>
      <c r="C65" s="5">
        <f>B29+B30</f>
        <v>300</v>
      </c>
      <c r="D65" s="40">
        <f t="shared" si="10"/>
        <v>0.5</v>
      </c>
      <c r="E65" s="40">
        <f>D55/C31</f>
        <v>10</v>
      </c>
      <c r="F65" s="40">
        <f t="shared" si="11"/>
        <v>0.30346398269064667</v>
      </c>
      <c r="H65"/>
      <c r="J65" s="16"/>
      <c r="K65" s="41"/>
      <c r="L65" s="41"/>
      <c r="N65"/>
      <c r="O65"/>
      <c r="P65"/>
    </row>
    <row r="66" spans="1:16" x14ac:dyDescent="0.2">
      <c r="A66" s="17" t="str">
        <f>CONCATENATE(A$14," ongewapend laag")</f>
        <v>Series 600 6F2 + R'cel + E'grid ongewapend laag</v>
      </c>
      <c r="B66" s="5">
        <v>150</v>
      </c>
      <c r="C66" s="5">
        <f>B30</f>
        <v>0</v>
      </c>
      <c r="D66" s="40" t="str">
        <f t="shared" si="10"/>
        <v/>
      </c>
      <c r="E66" s="40">
        <f>D56/C31</f>
        <v>0</v>
      </c>
      <c r="F66" s="40" t="str">
        <f t="shared" si="11"/>
        <v/>
      </c>
      <c r="H66"/>
      <c r="J66" s="16"/>
      <c r="K66" s="41"/>
      <c r="L66" s="41"/>
      <c r="N66"/>
      <c r="O66"/>
      <c r="P66"/>
    </row>
    <row r="67" spans="1:16" x14ac:dyDescent="0.2">
      <c r="A67" s="17" t="str">
        <f>CONCATENATE(A$14," volledig ongewapend en dieper")</f>
        <v>Series 600 6F2 + R'cel + E'grid volledig ongewapend en dieper</v>
      </c>
      <c r="B67" s="5">
        <v>150</v>
      </c>
      <c r="C67" s="5">
        <f>B14</f>
        <v>300</v>
      </c>
      <c r="D67" s="40">
        <f t="shared" si="10"/>
        <v>0.5</v>
      </c>
      <c r="E67" s="40">
        <f>F46/C15</f>
        <v>3</v>
      </c>
      <c r="F67" s="40">
        <f t="shared" si="11"/>
        <v>0.55170333273742789</v>
      </c>
      <c r="H67"/>
      <c r="J67" s="16"/>
      <c r="K67" s="41"/>
      <c r="L67" s="41"/>
      <c r="N67"/>
      <c r="O67"/>
      <c r="P67"/>
    </row>
    <row r="68" spans="1:16" x14ac:dyDescent="0.2">
      <c r="B68" s="15"/>
      <c r="C68" s="15"/>
      <c r="D68" s="15"/>
      <c r="E68" s="15"/>
      <c r="F68" s="15"/>
      <c r="H68" s="16"/>
      <c r="I68" s="16"/>
      <c r="J68" s="16"/>
      <c r="K68"/>
      <c r="L68"/>
      <c r="N68"/>
      <c r="O68"/>
      <c r="P68"/>
    </row>
    <row r="69" spans="1:16" x14ac:dyDescent="0.2">
      <c r="B69" s="15"/>
      <c r="C69" s="15"/>
      <c r="D69" s="15"/>
      <c r="E69" s="15"/>
      <c r="F69" s="15"/>
      <c r="H69" s="16"/>
      <c r="I69" s="16"/>
      <c r="J69" s="16"/>
      <c r="K69"/>
      <c r="L69"/>
      <c r="N69"/>
      <c r="O69"/>
      <c r="P69"/>
    </row>
    <row r="70" spans="1:16" x14ac:dyDescent="0.2">
      <c r="B70" s="15"/>
      <c r="C70" s="15"/>
      <c r="D70" s="15"/>
      <c r="E70" s="15"/>
      <c r="F70" s="15"/>
      <c r="H70" s="16"/>
      <c r="I70" s="16"/>
      <c r="J70" s="16"/>
      <c r="K70"/>
      <c r="L70"/>
      <c r="N70"/>
      <c r="O70"/>
      <c r="P70"/>
    </row>
    <row r="71" spans="1:16" x14ac:dyDescent="0.2">
      <c r="B71" s="15"/>
      <c r="C71" s="15"/>
      <c r="D71" s="15"/>
      <c r="E71" s="15"/>
      <c r="F71" s="15"/>
      <c r="H71" s="16"/>
      <c r="I71" s="16"/>
      <c r="J71" s="16"/>
      <c r="K71"/>
      <c r="L71"/>
      <c r="N71"/>
      <c r="O71"/>
      <c r="P71"/>
    </row>
    <row r="72" spans="1:16" x14ac:dyDescent="0.2">
      <c r="B72" s="15"/>
      <c r="C72" s="15"/>
      <c r="D72" s="15"/>
      <c r="E72" s="15"/>
      <c r="F72" s="15"/>
      <c r="H72" s="16"/>
      <c r="I72" s="16"/>
      <c r="J72" s="16"/>
      <c r="K72"/>
      <c r="L72"/>
      <c r="N72"/>
      <c r="O72"/>
      <c r="P72"/>
    </row>
    <row r="73" spans="1:16" x14ac:dyDescent="0.2">
      <c r="B73" s="15"/>
      <c r="C73" s="15"/>
      <c r="D73" s="15"/>
      <c r="E73" s="15"/>
      <c r="F73" s="15"/>
      <c r="H73" s="16"/>
      <c r="I73" s="16"/>
      <c r="J73" s="16"/>
      <c r="K73"/>
      <c r="L73"/>
      <c r="N73"/>
      <c r="O73"/>
      <c r="P73"/>
    </row>
    <row r="74" spans="1:16" x14ac:dyDescent="0.2">
      <c r="B74" s="15"/>
      <c r="C74" s="15"/>
      <c r="D74" s="15"/>
      <c r="E74" s="15"/>
      <c r="F74" s="15"/>
      <c r="H74" s="16"/>
      <c r="I74" s="16"/>
      <c r="J74" s="16"/>
      <c r="K74"/>
      <c r="L74"/>
      <c r="N74"/>
      <c r="O74"/>
      <c r="P74"/>
    </row>
    <row r="75" spans="1:16" x14ac:dyDescent="0.2">
      <c r="B75" s="15"/>
      <c r="C75" s="15"/>
      <c r="D75" s="15"/>
      <c r="E75" s="15"/>
      <c r="F75" s="15"/>
      <c r="H75" s="16"/>
      <c r="I75" s="16"/>
      <c r="J75" s="16"/>
      <c r="K75"/>
      <c r="L75"/>
      <c r="N75"/>
      <c r="O75"/>
      <c r="P75"/>
    </row>
    <row r="76" spans="1:16" x14ac:dyDescent="0.2">
      <c r="B76" s="15"/>
      <c r="C76" s="15"/>
      <c r="D76" s="15"/>
      <c r="E76" s="15"/>
      <c r="F76" s="15"/>
      <c r="H76" s="16"/>
      <c r="I76" s="16"/>
      <c r="J76" s="16"/>
      <c r="K76"/>
      <c r="L76"/>
      <c r="N76"/>
      <c r="O76"/>
      <c r="P76"/>
    </row>
    <row r="77" spans="1:16" x14ac:dyDescent="0.2">
      <c r="B77" s="15"/>
      <c r="C77" s="15"/>
      <c r="D77" s="15"/>
      <c r="E77" s="15"/>
      <c r="F77" s="15"/>
      <c r="H77" s="16"/>
      <c r="I77" s="16"/>
      <c r="J77" s="16"/>
      <c r="K77"/>
      <c r="L77"/>
      <c r="N77"/>
      <c r="O77"/>
      <c r="P77"/>
    </row>
    <row r="78" spans="1:16" x14ac:dyDescent="0.2">
      <c r="B78" s="15"/>
      <c r="C78" s="15"/>
      <c r="D78" s="15"/>
      <c r="E78" s="15"/>
      <c r="F78" s="15"/>
      <c r="H78" s="16"/>
      <c r="I78" s="16"/>
      <c r="J78" s="16"/>
      <c r="K78"/>
      <c r="L78"/>
      <c r="N78"/>
      <c r="O78"/>
      <c r="P78"/>
    </row>
    <row r="79" spans="1:16" x14ac:dyDescent="0.2">
      <c r="B79" s="15"/>
      <c r="C79" s="15"/>
      <c r="D79" s="15"/>
      <c r="E79" s="15"/>
      <c r="F79" s="15"/>
      <c r="H79" s="16"/>
      <c r="I79" s="16"/>
      <c r="J79" s="16"/>
      <c r="K79"/>
      <c r="L79"/>
      <c r="N79"/>
      <c r="O79"/>
      <c r="P79"/>
    </row>
    <row r="80" spans="1:16" x14ac:dyDescent="0.2">
      <c r="B80" s="15"/>
      <c r="C80" s="15"/>
      <c r="D80" s="15"/>
      <c r="E80" s="15"/>
      <c r="F80" s="15"/>
      <c r="H80" s="16"/>
      <c r="I80" s="16"/>
      <c r="J80" s="16"/>
      <c r="K80"/>
      <c r="L80"/>
      <c r="N80"/>
      <c r="O80"/>
      <c r="P80"/>
    </row>
    <row r="81" spans="2:16" x14ac:dyDescent="0.2">
      <c r="B81" s="15"/>
      <c r="C81" s="15"/>
      <c r="D81" s="15"/>
      <c r="E81" s="15"/>
      <c r="F81" s="15"/>
      <c r="H81" s="16"/>
      <c r="I81" s="16"/>
      <c r="J81" s="16"/>
      <c r="K81"/>
      <c r="L81"/>
      <c r="N81"/>
      <c r="O81"/>
      <c r="P81"/>
    </row>
    <row r="82" spans="2:16" x14ac:dyDescent="0.2">
      <c r="B82" s="15"/>
      <c r="C82" s="15"/>
      <c r="D82" s="15"/>
      <c r="E82" s="15"/>
      <c r="F82" s="15"/>
      <c r="H82" s="16"/>
      <c r="I82" s="16"/>
      <c r="J82" s="16"/>
      <c r="K82"/>
      <c r="L82"/>
      <c r="N82"/>
      <c r="O82"/>
      <c r="P82"/>
    </row>
    <row r="83" spans="2:16" x14ac:dyDescent="0.2">
      <c r="B83" s="15"/>
      <c r="C83" s="15"/>
      <c r="D83" s="15"/>
      <c r="E83" s="15"/>
      <c r="F83" s="15"/>
      <c r="H83" s="16"/>
      <c r="I83" s="16"/>
      <c r="J83" s="16"/>
      <c r="K83"/>
      <c r="L83"/>
      <c r="N83"/>
      <c r="O83"/>
      <c r="P83"/>
    </row>
    <row r="84" spans="2:16" x14ac:dyDescent="0.2">
      <c r="B84" s="15"/>
      <c r="C84" s="15"/>
      <c r="D84" s="15"/>
      <c r="E84" s="15"/>
      <c r="F84" s="15"/>
      <c r="H84" s="16"/>
      <c r="I84" s="16"/>
      <c r="J84" s="16"/>
      <c r="K84"/>
      <c r="L84"/>
      <c r="N84"/>
      <c r="O84"/>
      <c r="P84"/>
    </row>
    <row r="85" spans="2:16" x14ac:dyDescent="0.2">
      <c r="B85" s="15"/>
      <c r="C85" s="15"/>
      <c r="D85" s="15"/>
      <c r="E85" s="15"/>
      <c r="F85" s="15"/>
      <c r="H85" s="16"/>
      <c r="I85" s="16"/>
      <c r="J85" s="16"/>
      <c r="K85"/>
      <c r="L85"/>
      <c r="N85"/>
      <c r="O85"/>
      <c r="P85"/>
    </row>
    <row r="86" spans="2:16" x14ac:dyDescent="0.2">
      <c r="B86" s="15"/>
      <c r="C86" s="15"/>
      <c r="D86" s="15"/>
      <c r="E86" s="15"/>
      <c r="F86" s="15"/>
      <c r="H86" s="16"/>
      <c r="I86" s="16"/>
      <c r="J86" s="16"/>
      <c r="K86"/>
      <c r="L86"/>
      <c r="N86"/>
      <c r="O86"/>
      <c r="P86"/>
    </row>
    <row r="87" spans="2:16" x14ac:dyDescent="0.2">
      <c r="B87" s="15"/>
      <c r="C87" s="15"/>
      <c r="D87" s="15"/>
      <c r="E87" s="15"/>
      <c r="F87" s="15"/>
      <c r="H87" s="16"/>
      <c r="I87" s="16"/>
      <c r="J87" s="16"/>
      <c r="K87"/>
      <c r="L87"/>
      <c r="N87"/>
      <c r="O87"/>
      <c r="P87"/>
    </row>
    <row r="88" spans="2:16" x14ac:dyDescent="0.2">
      <c r="B88" s="15"/>
      <c r="C88" s="15"/>
      <c r="D88" s="15"/>
      <c r="E88" s="15"/>
      <c r="F88" s="15"/>
      <c r="H88" s="16"/>
      <c r="I88" s="16"/>
      <c r="J88" s="16"/>
      <c r="K88"/>
      <c r="L88"/>
      <c r="N88"/>
      <c r="O88"/>
      <c r="P88"/>
    </row>
    <row r="89" spans="2:16" x14ac:dyDescent="0.2">
      <c r="B89" s="15"/>
      <c r="C89" s="15"/>
      <c r="D89" s="15"/>
      <c r="E89" s="15"/>
      <c r="F89" s="15"/>
      <c r="H89" s="16"/>
      <c r="I89" s="16"/>
      <c r="J89" s="16"/>
      <c r="K89"/>
      <c r="L89"/>
      <c r="N89"/>
      <c r="O89"/>
      <c r="P89"/>
    </row>
    <row r="90" spans="2:16" x14ac:dyDescent="0.2">
      <c r="B90" s="15"/>
      <c r="C90" s="15"/>
      <c r="D90" s="15"/>
      <c r="E90" s="15"/>
      <c r="F90" s="15"/>
      <c r="H90" s="16"/>
      <c r="I90" s="16"/>
      <c r="J90" s="16"/>
      <c r="K90"/>
      <c r="L90"/>
      <c r="N90"/>
      <c r="O90"/>
      <c r="P90"/>
    </row>
    <row r="91" spans="2:16" x14ac:dyDescent="0.2">
      <c r="B91" s="15"/>
      <c r="C91" s="15"/>
      <c r="D91" s="15"/>
      <c r="E91" s="15"/>
      <c r="F91" s="15"/>
      <c r="H91" s="16"/>
      <c r="I91" s="16"/>
      <c r="J91" s="16"/>
      <c r="K91"/>
      <c r="L91"/>
      <c r="N91"/>
      <c r="O91"/>
      <c r="P91"/>
    </row>
    <row r="92" spans="2:16" x14ac:dyDescent="0.2">
      <c r="B92" s="15"/>
      <c r="C92" s="15"/>
      <c r="D92" s="15"/>
      <c r="E92" s="15"/>
      <c r="F92" s="15"/>
      <c r="H92" s="16"/>
      <c r="I92" s="16"/>
      <c r="J92" s="16"/>
      <c r="K92"/>
      <c r="L92"/>
      <c r="N92"/>
      <c r="O92"/>
      <c r="P92"/>
    </row>
    <row r="93" spans="2:16" x14ac:dyDescent="0.2">
      <c r="B93" s="15"/>
      <c r="C93" s="15"/>
      <c r="D93" s="15"/>
      <c r="E93" s="15"/>
      <c r="F93" s="15"/>
      <c r="H93" s="16"/>
      <c r="I93" s="16"/>
      <c r="J93" s="16"/>
      <c r="K93"/>
      <c r="L93"/>
      <c r="N93"/>
      <c r="O93"/>
      <c r="P93"/>
    </row>
    <row r="94" spans="2:16" x14ac:dyDescent="0.2">
      <c r="B94" s="15"/>
      <c r="C94" s="15"/>
      <c r="D94" s="15"/>
      <c r="E94" s="15"/>
      <c r="F94" s="15"/>
      <c r="H94" s="16"/>
      <c r="I94" s="16"/>
      <c r="J94" s="16"/>
      <c r="K94"/>
      <c r="L94"/>
      <c r="N94"/>
      <c r="O94"/>
      <c r="P94"/>
    </row>
    <row r="95" spans="2:16" x14ac:dyDescent="0.2">
      <c r="B95" s="15"/>
      <c r="C95" s="15"/>
      <c r="D95" s="15"/>
      <c r="E95" s="15"/>
      <c r="F95" s="15"/>
      <c r="H95" s="16"/>
      <c r="I95" s="16"/>
      <c r="J95" s="16"/>
      <c r="K95"/>
      <c r="L95"/>
      <c r="N95"/>
      <c r="O95"/>
      <c r="P95"/>
    </row>
    <row r="96" spans="2:16" x14ac:dyDescent="0.2">
      <c r="B96" s="15"/>
      <c r="C96" s="15"/>
      <c r="D96" s="15"/>
      <c r="E96" s="15"/>
      <c r="F96" s="15"/>
      <c r="H96" s="16"/>
      <c r="I96" s="16"/>
      <c r="J96" s="16"/>
      <c r="K96"/>
      <c r="L96"/>
      <c r="N96"/>
      <c r="O96"/>
      <c r="P96"/>
    </row>
    <row r="97" spans="2:16" x14ac:dyDescent="0.2">
      <c r="B97" s="15"/>
      <c r="C97" s="15"/>
      <c r="D97" s="15"/>
      <c r="E97" s="15"/>
      <c r="F97" s="15"/>
      <c r="H97" s="16"/>
      <c r="I97" s="16"/>
      <c r="J97" s="16"/>
      <c r="K97"/>
      <c r="L97"/>
      <c r="N97"/>
      <c r="O97"/>
      <c r="P97"/>
    </row>
    <row r="98" spans="2:16" x14ac:dyDescent="0.2">
      <c r="B98" s="15"/>
      <c r="C98" s="15"/>
      <c r="D98" s="15"/>
      <c r="E98" s="15"/>
      <c r="F98" s="15"/>
      <c r="H98" s="16"/>
      <c r="I98" s="16"/>
      <c r="J98" s="16"/>
      <c r="K98"/>
      <c r="L98"/>
      <c r="N98"/>
      <c r="O98"/>
      <c r="P98"/>
    </row>
    <row r="99" spans="2:16" x14ac:dyDescent="0.2">
      <c r="B99" s="15"/>
      <c r="C99" s="15"/>
      <c r="D99" s="15"/>
      <c r="E99" s="15"/>
      <c r="F99" s="15"/>
      <c r="H99" s="16"/>
      <c r="I99" s="16"/>
      <c r="J99" s="16"/>
      <c r="K99"/>
      <c r="L99"/>
      <c r="N99"/>
      <c r="O99"/>
      <c r="P99"/>
    </row>
    <row r="100" spans="2:16" x14ac:dyDescent="0.2">
      <c r="B100" s="15"/>
      <c r="C100" s="15"/>
      <c r="D100" s="15"/>
      <c r="E100" s="15"/>
      <c r="F100" s="15"/>
      <c r="H100" s="16"/>
      <c r="I100" s="16"/>
      <c r="J100" s="16"/>
      <c r="K100"/>
      <c r="L100"/>
      <c r="N100"/>
      <c r="O100"/>
      <c r="P100"/>
    </row>
    <row r="101" spans="2:16" x14ac:dyDescent="0.2">
      <c r="B101" s="15"/>
      <c r="C101" s="15"/>
      <c r="D101" s="15"/>
      <c r="E101" s="15"/>
      <c r="F101" s="15"/>
      <c r="H101" s="16"/>
      <c r="I101" s="16"/>
      <c r="J101" s="16"/>
      <c r="K101"/>
      <c r="L101"/>
      <c r="N101"/>
      <c r="O101"/>
      <c r="P101"/>
    </row>
    <row r="102" spans="2:16" x14ac:dyDescent="0.2">
      <c r="B102" s="15"/>
      <c r="C102" s="15"/>
      <c r="D102" s="15"/>
      <c r="E102" s="15"/>
      <c r="F102" s="15"/>
      <c r="H102" s="16"/>
      <c r="I102" s="16"/>
      <c r="J102" s="16"/>
      <c r="K102"/>
      <c r="L102"/>
      <c r="N102"/>
      <c r="O102"/>
      <c r="P102"/>
    </row>
    <row r="103" spans="2:16" x14ac:dyDescent="0.2">
      <c r="B103" s="15"/>
      <c r="C103" s="15"/>
      <c r="D103" s="15"/>
      <c r="E103" s="15"/>
      <c r="F103" s="15"/>
      <c r="H103" s="16"/>
      <c r="I103" s="16"/>
      <c r="J103" s="16"/>
      <c r="K103"/>
      <c r="L103"/>
      <c r="N103"/>
      <c r="O103"/>
      <c r="P103"/>
    </row>
    <row r="104" spans="2:16" x14ac:dyDescent="0.2">
      <c r="B104" s="15"/>
      <c r="C104" s="15"/>
      <c r="D104" s="15"/>
      <c r="E104" s="15"/>
      <c r="F104" s="15"/>
      <c r="H104" s="16"/>
      <c r="I104" s="16"/>
      <c r="J104" s="16"/>
      <c r="K104"/>
      <c r="L104"/>
      <c r="N104"/>
      <c r="O104"/>
      <c r="P104"/>
    </row>
    <row r="105" spans="2:16" x14ac:dyDescent="0.2">
      <c r="B105" s="15"/>
      <c r="C105" s="15"/>
      <c r="D105" s="15"/>
      <c r="E105" s="15"/>
      <c r="F105" s="15"/>
      <c r="H105" s="16"/>
      <c r="I105" s="16"/>
      <c r="J105" s="16"/>
      <c r="K105"/>
      <c r="L105"/>
      <c r="N105"/>
      <c r="O105"/>
      <c r="P105"/>
    </row>
    <row r="106" spans="2:16" x14ac:dyDescent="0.2">
      <c r="B106" s="15"/>
      <c r="C106" s="15"/>
      <c r="D106" s="15"/>
      <c r="E106" s="15"/>
      <c r="F106" s="15"/>
      <c r="H106" s="16"/>
      <c r="I106" s="16"/>
      <c r="J106" s="16"/>
      <c r="K106"/>
      <c r="L106"/>
      <c r="N106"/>
      <c r="O106"/>
      <c r="P106"/>
    </row>
    <row r="107" spans="2:16" x14ac:dyDescent="0.2">
      <c r="B107" s="15"/>
      <c r="C107" s="15"/>
      <c r="D107" s="15"/>
      <c r="E107" s="15"/>
      <c r="F107" s="15"/>
      <c r="H107" s="16"/>
      <c r="I107" s="16"/>
      <c r="J107" s="16"/>
      <c r="K107"/>
      <c r="L107"/>
      <c r="N107"/>
      <c r="O107"/>
      <c r="P107"/>
    </row>
    <row r="108" spans="2:16" x14ac:dyDescent="0.2">
      <c r="B108" s="15"/>
      <c r="C108" s="15"/>
      <c r="D108" s="15"/>
      <c r="E108" s="15"/>
      <c r="F108" s="15"/>
      <c r="H108" s="16"/>
      <c r="I108" s="16"/>
      <c r="J108" s="16"/>
      <c r="K108"/>
      <c r="L108"/>
      <c r="N108"/>
      <c r="O108"/>
      <c r="P108"/>
    </row>
    <row r="109" spans="2:16" x14ac:dyDescent="0.2">
      <c r="B109" s="15"/>
      <c r="C109" s="15"/>
      <c r="D109" s="15"/>
      <c r="E109" s="15"/>
      <c r="F109" s="15"/>
      <c r="H109" s="16"/>
      <c r="I109" s="16"/>
      <c r="J109" s="16"/>
      <c r="K109"/>
      <c r="L109"/>
      <c r="N109"/>
      <c r="O109"/>
      <c r="P109"/>
    </row>
    <row r="110" spans="2:16" x14ac:dyDescent="0.2">
      <c r="B110" s="15"/>
      <c r="C110" s="15"/>
      <c r="D110" s="15"/>
      <c r="E110" s="15"/>
      <c r="F110" s="15"/>
      <c r="H110" s="16"/>
      <c r="I110" s="16"/>
      <c r="J110" s="16"/>
      <c r="K110"/>
      <c r="L110"/>
      <c r="N110"/>
      <c r="O110"/>
      <c r="P110"/>
    </row>
    <row r="111" spans="2:16" x14ac:dyDescent="0.2">
      <c r="B111" s="15"/>
      <c r="C111" s="15"/>
      <c r="D111" s="15"/>
      <c r="E111" s="15"/>
      <c r="F111" s="15"/>
      <c r="H111" s="16"/>
      <c r="I111" s="16"/>
      <c r="J111" s="16"/>
      <c r="K111"/>
      <c r="L111"/>
      <c r="N111"/>
      <c r="O111"/>
      <c r="P111"/>
    </row>
    <row r="112" spans="2:16" x14ac:dyDescent="0.2">
      <c r="B112" s="15"/>
      <c r="C112" s="15"/>
      <c r="D112" s="15"/>
      <c r="E112" s="15"/>
      <c r="F112" s="15"/>
      <c r="H112" s="16"/>
      <c r="I112" s="16"/>
      <c r="J112" s="16"/>
      <c r="K112"/>
      <c r="L112"/>
      <c r="N112"/>
      <c r="O112"/>
      <c r="P112"/>
    </row>
    <row r="113" spans="2:16" x14ac:dyDescent="0.2">
      <c r="B113" s="15"/>
      <c r="C113" s="15"/>
      <c r="D113" s="15"/>
      <c r="E113" s="15"/>
      <c r="F113" s="15"/>
      <c r="H113" s="16"/>
      <c r="I113" s="16"/>
      <c r="J113" s="16"/>
      <c r="K113"/>
      <c r="L113"/>
      <c r="N113"/>
      <c r="O113"/>
      <c r="P113"/>
    </row>
    <row r="114" spans="2:16" x14ac:dyDescent="0.2">
      <c r="B114" s="15"/>
      <c r="C114" s="15"/>
      <c r="D114" s="15"/>
      <c r="E114" s="15"/>
      <c r="F114" s="15"/>
      <c r="H114" s="16"/>
      <c r="I114" s="16"/>
      <c r="J114" s="16"/>
      <c r="K114"/>
      <c r="L114"/>
      <c r="N114"/>
      <c r="O114"/>
      <c r="P114"/>
    </row>
    <row r="115" spans="2:16" x14ac:dyDescent="0.2">
      <c r="B115" s="15"/>
      <c r="C115" s="15"/>
      <c r="D115" s="15"/>
      <c r="E115" s="15"/>
      <c r="F115" s="15"/>
      <c r="H115" s="16"/>
      <c r="I115" s="16"/>
      <c r="J115" s="16"/>
      <c r="K115"/>
      <c r="L115"/>
      <c r="N115"/>
      <c r="O115"/>
      <c r="P115"/>
    </row>
    <row r="116" spans="2:16" x14ac:dyDescent="0.2">
      <c r="B116" s="15"/>
      <c r="C116" s="15"/>
      <c r="D116" s="15"/>
      <c r="E116" s="15"/>
      <c r="F116" s="15"/>
      <c r="H116" s="16"/>
      <c r="I116" s="16"/>
      <c r="J116" s="16"/>
      <c r="K116"/>
      <c r="L116"/>
      <c r="N116"/>
      <c r="O116"/>
      <c r="P116"/>
    </row>
    <row r="117" spans="2:16" x14ac:dyDescent="0.2">
      <c r="B117" s="15"/>
      <c r="C117" s="15"/>
      <c r="D117" s="15"/>
      <c r="E117" s="15"/>
      <c r="F117" s="15"/>
      <c r="H117" s="16"/>
      <c r="I117" s="16"/>
      <c r="J117" s="16"/>
      <c r="K117"/>
      <c r="L117"/>
      <c r="N117"/>
      <c r="O117"/>
      <c r="P117"/>
    </row>
    <row r="118" spans="2:16" x14ac:dyDescent="0.2">
      <c r="B118" s="15"/>
      <c r="C118" s="15"/>
      <c r="D118" s="15"/>
      <c r="E118" s="15"/>
      <c r="F118" s="15"/>
      <c r="H118" s="16"/>
      <c r="I118" s="16"/>
      <c r="J118" s="16"/>
      <c r="K118"/>
      <c r="L118"/>
      <c r="N118"/>
      <c r="O118"/>
      <c r="P118"/>
    </row>
    <row r="119" spans="2:16" x14ac:dyDescent="0.2">
      <c r="B119" s="15"/>
      <c r="C119" s="15"/>
      <c r="D119" s="15"/>
      <c r="E119" s="15"/>
      <c r="F119" s="15"/>
      <c r="H119" s="16"/>
      <c r="I119" s="16"/>
      <c r="J119" s="16"/>
      <c r="K119"/>
      <c r="L119"/>
      <c r="N119"/>
      <c r="O119"/>
      <c r="P119"/>
    </row>
    <row r="120" spans="2:16" x14ac:dyDescent="0.2">
      <c r="B120" s="15"/>
      <c r="C120" s="15"/>
      <c r="D120" s="15"/>
      <c r="E120" s="15"/>
      <c r="F120" s="15"/>
      <c r="H120" s="16"/>
      <c r="I120" s="16"/>
      <c r="J120" s="16"/>
      <c r="K120"/>
      <c r="L120"/>
      <c r="N120"/>
      <c r="O120"/>
      <c r="P120"/>
    </row>
    <row r="121" spans="2:16" x14ac:dyDescent="0.2">
      <c r="B121" s="15"/>
      <c r="C121" s="15"/>
      <c r="D121" s="15"/>
      <c r="E121" s="15"/>
      <c r="F121" s="15"/>
      <c r="H121" s="16"/>
      <c r="I121" s="16"/>
      <c r="J121" s="16"/>
      <c r="K121"/>
      <c r="L121"/>
      <c r="N121"/>
      <c r="O121"/>
      <c r="P121"/>
    </row>
    <row r="122" spans="2:16" x14ac:dyDescent="0.2">
      <c r="B122" s="15"/>
      <c r="C122" s="15"/>
      <c r="D122" s="15"/>
      <c r="E122" s="15"/>
      <c r="F122" s="15"/>
      <c r="H122" s="16"/>
      <c r="I122" s="16"/>
      <c r="J122" s="16"/>
      <c r="K122"/>
      <c r="L122"/>
      <c r="N122"/>
      <c r="O122"/>
      <c r="P122"/>
    </row>
    <row r="123" spans="2:16" x14ac:dyDescent="0.2">
      <c r="B123" s="15"/>
      <c r="C123" s="15"/>
      <c r="D123" s="15"/>
      <c r="E123" s="15"/>
      <c r="F123" s="15"/>
      <c r="H123" s="16"/>
      <c r="I123" s="16"/>
      <c r="J123" s="16"/>
      <c r="K123"/>
      <c r="L123"/>
      <c r="N123"/>
      <c r="O123"/>
      <c r="P123"/>
    </row>
    <row r="124" spans="2:16" x14ac:dyDescent="0.2">
      <c r="B124" s="15"/>
      <c r="C124" s="15"/>
      <c r="D124" s="15"/>
      <c r="E124" s="15"/>
      <c r="F124" s="15"/>
      <c r="H124" s="16"/>
      <c r="I124" s="16"/>
      <c r="J124" s="16"/>
      <c r="K124"/>
      <c r="L124"/>
      <c r="N124"/>
      <c r="O124"/>
      <c r="P124"/>
    </row>
    <row r="125" spans="2:16" x14ac:dyDescent="0.2">
      <c r="B125" s="15"/>
      <c r="C125" s="15"/>
      <c r="D125" s="15"/>
      <c r="E125" s="15"/>
      <c r="F125" s="15"/>
      <c r="H125" s="16"/>
      <c r="I125" s="16"/>
      <c r="J125" s="16"/>
      <c r="K125"/>
      <c r="L125"/>
      <c r="N125"/>
      <c r="O125"/>
      <c r="P125"/>
    </row>
    <row r="126" spans="2:16" x14ac:dyDescent="0.2">
      <c r="B126" s="15"/>
      <c r="C126" s="15"/>
      <c r="D126" s="15"/>
      <c r="E126" s="15"/>
      <c r="F126" s="15"/>
      <c r="H126" s="16"/>
      <c r="I126" s="16"/>
      <c r="J126" s="16"/>
      <c r="K126"/>
      <c r="L126"/>
      <c r="N126"/>
      <c r="O126"/>
      <c r="P126"/>
    </row>
    <row r="127" spans="2:16" x14ac:dyDescent="0.2">
      <c r="B127" s="15"/>
      <c r="C127" s="15"/>
      <c r="D127" s="15"/>
      <c r="E127" s="15"/>
      <c r="F127" s="15"/>
      <c r="H127" s="16"/>
      <c r="I127" s="16"/>
      <c r="J127" s="16"/>
      <c r="K127"/>
      <c r="L127"/>
      <c r="N127"/>
      <c r="O127"/>
      <c r="P127"/>
    </row>
    <row r="128" spans="2:16" x14ac:dyDescent="0.2">
      <c r="B128" s="15"/>
      <c r="C128" s="15"/>
      <c r="D128" s="15"/>
      <c r="E128" s="15"/>
      <c r="F128" s="15"/>
      <c r="H128" s="16"/>
      <c r="I128" s="16"/>
      <c r="J128" s="16"/>
      <c r="K128"/>
      <c r="L128"/>
      <c r="N128"/>
      <c r="O128"/>
      <c r="P128"/>
    </row>
    <row r="129" spans="2:16" x14ac:dyDescent="0.2">
      <c r="B129" s="15"/>
      <c r="C129" s="15"/>
      <c r="D129" s="15"/>
      <c r="E129" s="15"/>
      <c r="F129" s="15"/>
      <c r="H129" s="16"/>
      <c r="I129" s="16"/>
      <c r="J129" s="16"/>
      <c r="K129"/>
      <c r="L129"/>
      <c r="N129"/>
      <c r="O129"/>
      <c r="P129"/>
    </row>
    <row r="130" spans="2:16" x14ac:dyDescent="0.2">
      <c r="B130" s="15"/>
      <c r="C130" s="15"/>
      <c r="D130" s="15"/>
      <c r="E130" s="15"/>
      <c r="F130" s="15"/>
      <c r="H130" s="16"/>
      <c r="I130" s="16"/>
      <c r="J130" s="16"/>
      <c r="K130"/>
      <c r="L130"/>
      <c r="N130"/>
      <c r="O130"/>
      <c r="P130"/>
    </row>
    <row r="131" spans="2:16" x14ac:dyDescent="0.2">
      <c r="B131" s="15"/>
      <c r="C131" s="15"/>
      <c r="D131" s="15"/>
      <c r="E131" s="15"/>
      <c r="F131" s="15"/>
      <c r="H131" s="16"/>
      <c r="I131" s="16"/>
      <c r="J131" s="16"/>
      <c r="K131"/>
      <c r="L131"/>
      <c r="N131"/>
      <c r="O131"/>
      <c r="P131"/>
    </row>
    <row r="132" spans="2:16" x14ac:dyDescent="0.2">
      <c r="B132" s="15"/>
      <c r="C132" s="15"/>
      <c r="D132" s="15"/>
      <c r="E132" s="15"/>
      <c r="F132" s="15"/>
      <c r="H132" s="16"/>
      <c r="I132" s="16"/>
      <c r="J132" s="16"/>
      <c r="K132"/>
      <c r="L132"/>
      <c r="N132"/>
      <c r="O132"/>
      <c r="P132"/>
    </row>
    <row r="133" spans="2:16" x14ac:dyDescent="0.2">
      <c r="B133" s="15"/>
      <c r="C133" s="15"/>
      <c r="D133" s="15"/>
      <c r="E133" s="15"/>
      <c r="F133" s="15"/>
      <c r="H133" s="16"/>
      <c r="I133" s="16"/>
      <c r="J133" s="16"/>
      <c r="K133"/>
      <c r="L133"/>
      <c r="N133"/>
      <c r="O133"/>
      <c r="P133"/>
    </row>
    <row r="134" spans="2:16" x14ac:dyDescent="0.2">
      <c r="B134" s="15"/>
      <c r="C134" s="15"/>
      <c r="D134" s="15"/>
      <c r="E134" s="15"/>
      <c r="F134" s="15"/>
      <c r="H134" s="16"/>
      <c r="I134" s="16"/>
      <c r="J134" s="16"/>
      <c r="K134"/>
      <c r="L134"/>
      <c r="N134"/>
      <c r="O134"/>
      <c r="P134"/>
    </row>
    <row r="135" spans="2:16" x14ac:dyDescent="0.2">
      <c r="B135" s="15"/>
      <c r="C135" s="15"/>
      <c r="D135" s="15"/>
      <c r="E135" s="15"/>
      <c r="F135" s="15"/>
      <c r="H135" s="16"/>
      <c r="I135" s="16"/>
      <c r="J135" s="16"/>
      <c r="K135"/>
      <c r="L135"/>
      <c r="N135"/>
      <c r="O135"/>
      <c r="P135"/>
    </row>
    <row r="136" spans="2:16" x14ac:dyDescent="0.2">
      <c r="B136" s="15"/>
      <c r="C136" s="15"/>
      <c r="D136" s="15"/>
      <c r="E136" s="15"/>
      <c r="F136" s="15"/>
      <c r="H136" s="16"/>
      <c r="I136" s="16"/>
      <c r="J136" s="16"/>
      <c r="K136"/>
      <c r="L136"/>
      <c r="N136"/>
      <c r="O136"/>
      <c r="P136"/>
    </row>
    <row r="137" spans="2:16" x14ac:dyDescent="0.2">
      <c r="B137" s="15"/>
      <c r="C137" s="15"/>
      <c r="D137" s="15"/>
      <c r="E137" s="15"/>
      <c r="F137" s="15"/>
      <c r="H137" s="16"/>
      <c r="I137" s="16"/>
      <c r="J137" s="16"/>
      <c r="K137"/>
      <c r="L137"/>
      <c r="N137"/>
      <c r="O137"/>
      <c r="P137"/>
    </row>
    <row r="138" spans="2:16" x14ac:dyDescent="0.2">
      <c r="B138" s="15"/>
      <c r="C138" s="15"/>
      <c r="D138" s="15"/>
      <c r="E138" s="15"/>
      <c r="F138" s="15"/>
      <c r="H138" s="16"/>
      <c r="I138" s="16"/>
      <c r="J138" s="16"/>
      <c r="K138"/>
      <c r="L138"/>
      <c r="N138"/>
      <c r="O138"/>
      <c r="P138"/>
    </row>
    <row r="139" spans="2:16" x14ac:dyDescent="0.2">
      <c r="B139" s="15"/>
      <c r="C139" s="15"/>
      <c r="D139" s="15"/>
      <c r="E139" s="15"/>
      <c r="F139" s="15"/>
      <c r="H139" s="16"/>
      <c r="I139" s="16"/>
      <c r="J139" s="16"/>
      <c r="K139"/>
      <c r="L139"/>
      <c r="N139"/>
      <c r="O139"/>
      <c r="P139"/>
    </row>
    <row r="140" spans="2:16" x14ac:dyDescent="0.2">
      <c r="B140" s="15"/>
      <c r="C140" s="15"/>
      <c r="D140" s="15"/>
      <c r="E140" s="15"/>
      <c r="F140" s="15"/>
      <c r="H140" s="16"/>
      <c r="I140" s="16"/>
      <c r="J140" s="16"/>
      <c r="K140"/>
      <c r="L140"/>
      <c r="N140"/>
      <c r="O140"/>
      <c r="P140"/>
    </row>
    <row r="141" spans="2:16" x14ac:dyDescent="0.2">
      <c r="B141" s="15"/>
      <c r="C141" s="15"/>
      <c r="D141" s="15"/>
      <c r="E141" s="15"/>
      <c r="F141" s="15"/>
      <c r="H141" s="16"/>
      <c r="I141" s="16"/>
      <c r="J141" s="16"/>
      <c r="K141"/>
      <c r="L141"/>
      <c r="N141"/>
      <c r="O141"/>
      <c r="P141"/>
    </row>
    <row r="142" spans="2:16" x14ac:dyDescent="0.2">
      <c r="B142" s="15"/>
      <c r="C142" s="15"/>
      <c r="D142" s="15"/>
      <c r="E142" s="15"/>
      <c r="F142" s="15"/>
      <c r="H142" s="16"/>
      <c r="I142" s="16"/>
      <c r="J142" s="16"/>
      <c r="K142"/>
      <c r="L142"/>
      <c r="N142"/>
      <c r="O142"/>
      <c r="P142"/>
    </row>
    <row r="143" spans="2:16" x14ac:dyDescent="0.2">
      <c r="B143" s="15"/>
      <c r="C143" s="15"/>
      <c r="D143" s="15"/>
      <c r="E143" s="15"/>
      <c r="F143" s="15"/>
      <c r="H143" s="16"/>
      <c r="I143" s="16"/>
      <c r="J143" s="16"/>
      <c r="K143"/>
      <c r="L143"/>
      <c r="N143"/>
      <c r="O143"/>
      <c r="P143"/>
    </row>
    <row r="144" spans="2:16" x14ac:dyDescent="0.2">
      <c r="B144" s="15"/>
      <c r="C144" s="15"/>
      <c r="D144" s="15"/>
      <c r="E144" s="15"/>
      <c r="F144" s="15"/>
      <c r="H144" s="16"/>
      <c r="I144" s="16"/>
      <c r="J144" s="16"/>
      <c r="K144"/>
      <c r="L144"/>
      <c r="N144"/>
      <c r="O144"/>
      <c r="P144"/>
    </row>
    <row r="145" spans="2:16" x14ac:dyDescent="0.2">
      <c r="B145" s="15"/>
      <c r="C145" s="15"/>
      <c r="D145" s="15"/>
      <c r="E145" s="15"/>
      <c r="F145" s="15"/>
      <c r="H145" s="16"/>
      <c r="I145" s="16"/>
      <c r="J145" s="16"/>
      <c r="K145"/>
      <c r="L145"/>
      <c r="N145"/>
      <c r="O145"/>
      <c r="P145"/>
    </row>
    <row r="146" spans="2:16" x14ac:dyDescent="0.2">
      <c r="B146" s="15"/>
      <c r="C146" s="15"/>
      <c r="D146" s="15"/>
      <c r="E146" s="15"/>
      <c r="F146" s="15"/>
      <c r="H146" s="16"/>
      <c r="I146" s="16"/>
      <c r="J146" s="16"/>
      <c r="K146"/>
      <c r="L146"/>
      <c r="N146"/>
      <c r="O146"/>
      <c r="P146"/>
    </row>
    <row r="147" spans="2:16" x14ac:dyDescent="0.2">
      <c r="B147" s="15"/>
      <c r="C147" s="15"/>
      <c r="D147" s="15"/>
      <c r="E147" s="15"/>
      <c r="F147" s="15"/>
      <c r="H147" s="16"/>
      <c r="I147" s="16"/>
      <c r="J147" s="16"/>
      <c r="K147"/>
      <c r="L147"/>
      <c r="N147"/>
      <c r="O147"/>
      <c r="P147"/>
    </row>
    <row r="148" spans="2:16" x14ac:dyDescent="0.2">
      <c r="B148" s="15"/>
      <c r="C148" s="15"/>
      <c r="D148" s="15"/>
      <c r="E148" s="15"/>
      <c r="F148" s="15"/>
      <c r="H148" s="16"/>
      <c r="I148" s="16"/>
      <c r="J148" s="16"/>
      <c r="K148"/>
      <c r="L148"/>
      <c r="N148"/>
      <c r="O148"/>
      <c r="P148"/>
    </row>
    <row r="149" spans="2:16" x14ac:dyDescent="0.2">
      <c r="B149" s="15"/>
      <c r="C149" s="15"/>
      <c r="D149" s="15"/>
      <c r="E149" s="15"/>
      <c r="F149" s="15"/>
      <c r="H149" s="16"/>
      <c r="I149" s="16"/>
      <c r="J149" s="16"/>
      <c r="K149"/>
      <c r="L149"/>
      <c r="N149"/>
      <c r="O149"/>
      <c r="P149"/>
    </row>
    <row r="150" spans="2:16" x14ac:dyDescent="0.2">
      <c r="B150" s="15"/>
      <c r="C150" s="15"/>
      <c r="D150" s="15"/>
      <c r="E150" s="15"/>
      <c r="F150" s="15"/>
      <c r="H150" s="16"/>
      <c r="I150" s="16"/>
      <c r="J150" s="16"/>
      <c r="K150"/>
      <c r="L150"/>
      <c r="N150"/>
      <c r="O150"/>
      <c r="P150"/>
    </row>
    <row r="151" spans="2:16" x14ac:dyDescent="0.2">
      <c r="B151" s="15"/>
      <c r="C151" s="15"/>
      <c r="D151" s="15"/>
      <c r="E151" s="15"/>
      <c r="F151" s="15"/>
      <c r="H151" s="16"/>
      <c r="I151" s="16"/>
      <c r="J151" s="16"/>
      <c r="K151"/>
      <c r="L151"/>
      <c r="N151"/>
      <c r="O151"/>
      <c r="P151"/>
    </row>
  </sheetData>
  <sheetProtection formatColumns="0" formatRows="0"/>
  <mergeCells count="8">
    <mergeCell ref="F14:G14"/>
    <mergeCell ref="F15:G15"/>
    <mergeCell ref="F1:G1"/>
    <mergeCell ref="B5:G5"/>
    <mergeCell ref="B6:G6"/>
    <mergeCell ref="B7:G7"/>
    <mergeCell ref="B8:G8"/>
    <mergeCell ref="F12:G12"/>
  </mergeCells>
  <conditionalFormatting sqref="C14:D14">
    <cfRule type="cellIs" dxfId="1" priority="1" operator="equal">
      <formula>"FOUT"</formula>
    </cfRule>
  </conditionalFormatting>
  <pageMargins left="0.7" right="0.7" top="0.75" bottom="0.75" header="0.3" footer="0.3"/>
  <pageSetup paperSize="9" orientation="landscape" r:id="rId1"/>
  <headerFooter>
    <oddFooter>&amp;L&amp;F&amp;CProcedure SBRCURnet&amp;RPagina &amp;P van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8DD0-208F-42F5-A42D-B5A1B9C5A8C0}">
  <sheetPr>
    <tabColor rgb="FFFFFF00"/>
    <pageSetUpPr fitToPage="1"/>
  </sheetPr>
  <dimension ref="A1:Q151"/>
  <sheetViews>
    <sheetView tabSelected="1" zoomScale="115" zoomScaleNormal="115" workbookViewId="0">
      <selection activeCell="H20" sqref="H20"/>
    </sheetView>
  </sheetViews>
  <sheetFormatPr defaultRowHeight="12.75" x14ac:dyDescent="0.2"/>
  <cols>
    <col min="1" max="1" width="44" customWidth="1"/>
    <col min="2" max="3" width="13.140625" style="16" customWidth="1"/>
    <col min="4" max="4" width="13" style="16" bestFit="1" customWidth="1"/>
    <col min="5" max="5" width="13.140625" style="16" customWidth="1"/>
    <col min="6" max="6" width="13.140625" customWidth="1"/>
    <col min="7" max="7" width="13.28515625" customWidth="1"/>
    <col min="8" max="8" width="11.85546875" style="15" customWidth="1"/>
    <col min="9" max="9" width="11.140625" style="15" customWidth="1"/>
    <col min="10" max="10" width="10.85546875" style="15" bestFit="1" customWidth="1"/>
    <col min="11" max="12" width="11.85546875" style="15" customWidth="1"/>
    <col min="13" max="13" width="26" bestFit="1" customWidth="1"/>
    <col min="14" max="15" width="10.85546875" style="16" bestFit="1" customWidth="1"/>
    <col min="16" max="16" width="8.7109375" style="16"/>
  </cols>
  <sheetData>
    <row r="1" spans="1:17" s="11" customFormat="1" ht="15.75" x14ac:dyDescent="0.25">
      <c r="A1" s="10" t="s">
        <v>49</v>
      </c>
      <c r="C1" s="12"/>
      <c r="D1" s="12"/>
      <c r="E1" s="12"/>
      <c r="F1" s="44" t="s">
        <v>50</v>
      </c>
      <c r="G1" s="44"/>
      <c r="H1" s="13"/>
      <c r="I1" s="13"/>
      <c r="J1" s="13"/>
      <c r="K1" s="13"/>
      <c r="L1" s="13"/>
      <c r="N1" s="12"/>
      <c r="O1" s="12"/>
      <c r="P1" s="12"/>
      <c r="Q1" s="14"/>
    </row>
    <row r="2" spans="1:17" s="11" customFormat="1" ht="15.75" x14ac:dyDescent="0.25">
      <c r="A2" s="11" t="s">
        <v>0</v>
      </c>
      <c r="B2" s="12"/>
      <c r="C2" s="12"/>
      <c r="D2" s="12"/>
      <c r="E2" s="12"/>
      <c r="H2" s="13"/>
      <c r="I2" s="13"/>
      <c r="J2" s="13"/>
      <c r="K2" s="13"/>
      <c r="L2" s="13"/>
      <c r="N2" s="12"/>
      <c r="O2" s="12"/>
      <c r="P2" s="12"/>
      <c r="Q2" s="14"/>
    </row>
    <row r="3" spans="1:17" s="11" customFormat="1" ht="15.75" x14ac:dyDescent="0.25">
      <c r="A3" s="11" t="s">
        <v>29</v>
      </c>
      <c r="B3" s="12"/>
      <c r="C3" s="12"/>
      <c r="D3" s="12"/>
      <c r="E3" s="12"/>
      <c r="H3" s="13"/>
      <c r="I3" s="13"/>
      <c r="J3" s="13"/>
      <c r="K3" s="13"/>
      <c r="L3" s="13"/>
      <c r="N3" s="12"/>
      <c r="O3" s="12"/>
      <c r="P3" s="12"/>
    </row>
    <row r="4" spans="1:17" x14ac:dyDescent="0.2">
      <c r="B4" s="15"/>
      <c r="C4" s="15"/>
      <c r="D4" s="15"/>
      <c r="E4" s="15"/>
      <c r="F4" s="15"/>
      <c r="H4" s="16"/>
      <c r="I4" s="16"/>
      <c r="J4" s="16"/>
      <c r="K4"/>
      <c r="L4"/>
      <c r="N4"/>
      <c r="O4"/>
      <c r="P4"/>
    </row>
    <row r="5" spans="1:17" x14ac:dyDescent="0.2">
      <c r="A5" s="17" t="s">
        <v>30</v>
      </c>
      <c r="B5" s="45" t="s">
        <v>57</v>
      </c>
      <c r="C5" s="45"/>
      <c r="D5" s="45"/>
      <c r="E5" s="45"/>
      <c r="F5" s="45"/>
      <c r="G5" s="45"/>
      <c r="H5" s="16"/>
      <c r="I5" s="16"/>
      <c r="J5" s="16"/>
      <c r="K5"/>
      <c r="L5"/>
      <c r="N5"/>
      <c r="O5"/>
      <c r="P5"/>
    </row>
    <row r="6" spans="1:17" x14ac:dyDescent="0.2">
      <c r="A6" s="17" t="s">
        <v>36</v>
      </c>
      <c r="B6" s="45" t="s">
        <v>48</v>
      </c>
      <c r="C6" s="45"/>
      <c r="D6" s="45"/>
      <c r="E6" s="45"/>
      <c r="F6" s="45"/>
      <c r="G6" s="45"/>
      <c r="H6" s="16"/>
      <c r="I6" s="16"/>
      <c r="J6" s="16"/>
      <c r="K6"/>
      <c r="L6"/>
      <c r="N6"/>
      <c r="O6"/>
      <c r="P6"/>
    </row>
    <row r="7" spans="1:17" x14ac:dyDescent="0.2">
      <c r="A7" s="17" t="s">
        <v>37</v>
      </c>
      <c r="B7" s="46">
        <v>45385</v>
      </c>
      <c r="C7" s="46"/>
      <c r="D7" s="46"/>
      <c r="E7" s="46"/>
      <c r="F7" s="46"/>
      <c r="G7" s="46"/>
      <c r="H7" s="16"/>
      <c r="I7" s="16"/>
      <c r="J7" s="16"/>
      <c r="K7"/>
      <c r="L7"/>
      <c r="N7"/>
      <c r="O7"/>
      <c r="P7"/>
    </row>
    <row r="8" spans="1:17" x14ac:dyDescent="0.2">
      <c r="A8" s="17" t="s">
        <v>38</v>
      </c>
      <c r="B8" s="45" t="s">
        <v>54</v>
      </c>
      <c r="C8" s="45"/>
      <c r="D8" s="45"/>
      <c r="E8" s="45"/>
      <c r="F8" s="45"/>
      <c r="G8" s="45"/>
      <c r="H8" s="16"/>
      <c r="I8" s="16"/>
      <c r="J8" s="16"/>
      <c r="K8"/>
      <c r="L8"/>
      <c r="N8"/>
      <c r="O8"/>
      <c r="P8"/>
    </row>
    <row r="9" spans="1:17" x14ac:dyDescent="0.2">
      <c r="B9" s="15"/>
      <c r="C9" s="15"/>
      <c r="D9" s="15"/>
      <c r="E9" s="15"/>
      <c r="F9" s="15"/>
      <c r="H9" s="16"/>
      <c r="I9" s="16"/>
      <c r="J9" s="16"/>
      <c r="K9"/>
      <c r="L9"/>
      <c r="N9"/>
      <c r="O9"/>
      <c r="P9"/>
    </row>
    <row r="10" spans="1:17" x14ac:dyDescent="0.2">
      <c r="A10" s="18" t="s">
        <v>32</v>
      </c>
      <c r="B10" s="15"/>
      <c r="C10" s="15"/>
      <c r="D10" s="15"/>
      <c r="E10" s="15"/>
      <c r="F10" s="15"/>
      <c r="H10" s="16"/>
      <c r="I10" s="16"/>
      <c r="J10" s="16"/>
      <c r="K10"/>
      <c r="L10"/>
      <c r="N10"/>
      <c r="O10"/>
      <c r="P10"/>
    </row>
    <row r="11" spans="1:17" ht="38.25" x14ac:dyDescent="0.2">
      <c r="A11" s="19" t="s">
        <v>20</v>
      </c>
      <c r="B11" s="20" t="s">
        <v>39</v>
      </c>
      <c r="C11" s="20" t="s">
        <v>43</v>
      </c>
      <c r="D11" s="20" t="s">
        <v>44</v>
      </c>
      <c r="E11" s="20" t="s">
        <v>42</v>
      </c>
      <c r="H11"/>
      <c r="I11"/>
      <c r="J11"/>
      <c r="K11"/>
      <c r="L11"/>
      <c r="N11"/>
      <c r="O11"/>
      <c r="P11"/>
    </row>
    <row r="12" spans="1:17" x14ac:dyDescent="0.2">
      <c r="A12" s="7" t="s">
        <v>52</v>
      </c>
      <c r="B12" s="1">
        <v>550</v>
      </c>
      <c r="C12" s="3">
        <v>5000</v>
      </c>
      <c r="D12" s="4">
        <f>C12</f>
        <v>5000</v>
      </c>
      <c r="E12" s="5">
        <f>E24</f>
        <v>5000</v>
      </c>
      <c r="F12" s="42" t="s">
        <v>45</v>
      </c>
      <c r="G12" s="43"/>
      <c r="H12"/>
      <c r="I12"/>
      <c r="J12"/>
      <c r="K12"/>
      <c r="L12"/>
      <c r="N12"/>
      <c r="O12"/>
      <c r="P12"/>
    </row>
    <row r="13" spans="1:17" x14ac:dyDescent="0.2">
      <c r="A13" s="7" t="s">
        <v>56</v>
      </c>
      <c r="B13" s="2">
        <v>250</v>
      </c>
      <c r="C13" s="2">
        <v>80</v>
      </c>
      <c r="D13" s="9">
        <f>IF(F13="vast",C13,IF(F13="vrij",G46,""))</f>
        <v>80</v>
      </c>
      <c r="E13" s="5">
        <f>IF(F13="vrij",E25,IF(F13="vast",MAX(D13,E25),""))</f>
        <v>344</v>
      </c>
      <c r="F13" s="7" t="s">
        <v>51</v>
      </c>
      <c r="G13" t="s">
        <v>47</v>
      </c>
      <c r="H13"/>
      <c r="I13"/>
      <c r="J13"/>
      <c r="K13"/>
      <c r="L13"/>
      <c r="N13"/>
      <c r="O13"/>
      <c r="P13"/>
    </row>
    <row r="14" spans="1:17" x14ac:dyDescent="0.2">
      <c r="A14" s="7" t="s">
        <v>56</v>
      </c>
      <c r="B14" s="2">
        <v>250</v>
      </c>
      <c r="C14" s="2">
        <v>150</v>
      </c>
      <c r="D14" s="6">
        <f>F46</f>
        <v>148</v>
      </c>
      <c r="E14" s="5">
        <f>E28</f>
        <v>570</v>
      </c>
      <c r="F14" s="42"/>
      <c r="G14" s="43"/>
      <c r="H14"/>
      <c r="I14"/>
      <c r="J14"/>
      <c r="K14"/>
      <c r="L14"/>
      <c r="N14"/>
      <c r="O14"/>
      <c r="P14"/>
    </row>
    <row r="15" spans="1:17" x14ac:dyDescent="0.2">
      <c r="A15" s="17" t="s">
        <v>7</v>
      </c>
      <c r="B15" s="5" t="s">
        <v>8</v>
      </c>
      <c r="C15" s="2">
        <v>105</v>
      </c>
      <c r="D15" s="5">
        <f>C15</f>
        <v>105</v>
      </c>
      <c r="E15" s="5">
        <f>E31</f>
        <v>105</v>
      </c>
      <c r="F15" s="42" t="s">
        <v>45</v>
      </c>
      <c r="G15" s="43"/>
      <c r="H15"/>
      <c r="I15"/>
      <c r="J15"/>
      <c r="K15"/>
      <c r="L15"/>
      <c r="N15"/>
      <c r="O15"/>
      <c r="P15"/>
    </row>
    <row r="16" spans="1:17" x14ac:dyDescent="0.2">
      <c r="F16" s="16"/>
      <c r="G16" s="16"/>
      <c r="H16" s="16"/>
      <c r="I16"/>
      <c r="J16"/>
      <c r="K16"/>
      <c r="L16"/>
      <c r="N16"/>
      <c r="O16"/>
      <c r="P16"/>
    </row>
    <row r="17" spans="1:16" x14ac:dyDescent="0.2">
      <c r="A17" s="18" t="s">
        <v>33</v>
      </c>
      <c r="B17" s="15"/>
      <c r="C17" s="15"/>
      <c r="D17" s="15"/>
      <c r="E17" s="15"/>
      <c r="F17" s="15"/>
      <c r="H17" s="16"/>
      <c r="I17" s="16"/>
      <c r="J17" s="16"/>
      <c r="K17"/>
      <c r="L17"/>
      <c r="N17"/>
      <c r="O17"/>
      <c r="P17"/>
    </row>
    <row r="18" spans="1:16" ht="51" x14ac:dyDescent="0.2">
      <c r="A18" s="19" t="s">
        <v>20</v>
      </c>
      <c r="B18" s="20" t="s">
        <v>40</v>
      </c>
      <c r="C18" s="20" t="s">
        <v>41</v>
      </c>
      <c r="D18" s="20" t="s">
        <v>34</v>
      </c>
      <c r="E18" s="20" t="s">
        <v>35</v>
      </c>
      <c r="H18"/>
      <c r="I18"/>
      <c r="J18"/>
      <c r="K18"/>
      <c r="L18"/>
      <c r="N18"/>
      <c r="O18"/>
      <c r="P18"/>
    </row>
    <row r="19" spans="1:16" x14ac:dyDescent="0.2">
      <c r="A19" s="17" t="str">
        <f>CONCATENATE("Wapening ",A13)</f>
        <v>Wapening Series 800 Type 1 + R'cel + E'grid</v>
      </c>
      <c r="B19" s="2">
        <v>250</v>
      </c>
      <c r="C19" s="2">
        <v>800</v>
      </c>
      <c r="D19" s="8">
        <v>10</v>
      </c>
      <c r="E19" s="8">
        <v>4.3</v>
      </c>
      <c r="F19" s="16"/>
      <c r="H19"/>
      <c r="I19"/>
      <c r="J19"/>
      <c r="K19"/>
      <c r="L19"/>
      <c r="N19"/>
      <c r="O19"/>
      <c r="P19"/>
    </row>
    <row r="20" spans="1:16" x14ac:dyDescent="0.2">
      <c r="A20" s="17" t="str">
        <f>CONCATENATE("Wapening ",A14)</f>
        <v>Wapening Series 800 Type 1 + R'cel + E'grid</v>
      </c>
      <c r="B20" s="2">
        <v>250</v>
      </c>
      <c r="C20" s="2">
        <v>1050</v>
      </c>
      <c r="D20" s="8">
        <v>10</v>
      </c>
      <c r="E20" s="8">
        <v>3.8</v>
      </c>
      <c r="F20" s="16"/>
      <c r="H20"/>
      <c r="I20"/>
      <c r="J20"/>
      <c r="K20"/>
      <c r="L20"/>
      <c r="N20"/>
      <c r="O20"/>
      <c r="P20"/>
    </row>
    <row r="21" spans="1:16" x14ac:dyDescent="0.2">
      <c r="F21" s="16"/>
      <c r="G21" s="16"/>
      <c r="H21" s="16"/>
      <c r="I21"/>
      <c r="J21"/>
      <c r="K21"/>
      <c r="L21"/>
      <c r="N21"/>
      <c r="O21"/>
      <c r="P21"/>
    </row>
    <row r="22" spans="1:16" x14ac:dyDescent="0.2">
      <c r="A22" s="18" t="s">
        <v>27</v>
      </c>
      <c r="B22" s="15"/>
      <c r="C22" s="15"/>
      <c r="D22" s="15"/>
      <c r="E22" s="15"/>
      <c r="F22" s="15"/>
      <c r="G22" s="16"/>
      <c r="H22" s="16"/>
      <c r="I22"/>
      <c r="J22"/>
      <c r="K22"/>
      <c r="L22"/>
      <c r="N22"/>
      <c r="O22"/>
      <c r="P22"/>
    </row>
    <row r="23" spans="1:16" x14ac:dyDescent="0.2">
      <c r="A23" s="19" t="s">
        <v>20</v>
      </c>
      <c r="B23" s="21" t="s">
        <v>6</v>
      </c>
      <c r="C23" s="21" t="s">
        <v>1</v>
      </c>
      <c r="D23" s="21" t="s">
        <v>18</v>
      </c>
      <c r="E23" s="21" t="s">
        <v>17</v>
      </c>
      <c r="F23" s="15"/>
      <c r="H23" s="16"/>
      <c r="I23" s="16"/>
      <c r="J23" s="16"/>
      <c r="K23"/>
      <c r="L23"/>
      <c r="N23"/>
      <c r="O23"/>
      <c r="P23"/>
    </row>
    <row r="24" spans="1:16" x14ac:dyDescent="0.2">
      <c r="A24" s="17" t="str">
        <f>A12</f>
        <v>Beton + fundering</v>
      </c>
      <c r="B24" s="5">
        <f>B12</f>
        <v>550</v>
      </c>
      <c r="C24" s="5">
        <f>C12</f>
        <v>5000</v>
      </c>
      <c r="D24" s="5" t="s">
        <v>8</v>
      </c>
      <c r="E24" s="5">
        <f>C24</f>
        <v>5000</v>
      </c>
      <c r="F24" s="15"/>
      <c r="H24"/>
      <c r="I24"/>
      <c r="J24"/>
      <c r="K24"/>
      <c r="L24"/>
      <c r="N24"/>
      <c r="O24"/>
      <c r="P24"/>
    </row>
    <row r="25" spans="1:16" x14ac:dyDescent="0.2">
      <c r="A25" s="17" t="str">
        <f>CONCATENATE(A$13," ongewapend hoog")</f>
        <v>Series 800 Type 1 + R'cel + E'grid ongewapend hoog</v>
      </c>
      <c r="B25" s="5">
        <f>IF(B19=B13,0,IF(B19=0,B13,IF(B12+B13=C19,B13-B19,IF(B12+B19=C19,0,C19-B12-B19))))</f>
        <v>0</v>
      </c>
      <c r="C25" s="6">
        <f>IF(F13="&lt; vast",C13,IF(B25=0,0,E46))</f>
        <v>0</v>
      </c>
      <c r="D25" s="22">
        <f>IF(B25=0,D26,ROUND(D28/F61,0))</f>
        <v>282</v>
      </c>
      <c r="E25" s="23">
        <f>D51</f>
        <v>344</v>
      </c>
      <c r="F25" s="24"/>
      <c r="H25"/>
      <c r="I25"/>
      <c r="J25"/>
      <c r="K25"/>
      <c r="L25"/>
      <c r="N25"/>
      <c r="O25"/>
      <c r="P25"/>
    </row>
    <row r="26" spans="1:16" x14ac:dyDescent="0.2">
      <c r="A26" s="17" t="str">
        <f>CONCATENATE(A$13," gewapend")</f>
        <v>Series 800 Type 1 + R'cel + E'grid gewapend</v>
      </c>
      <c r="B26" s="5">
        <f>IF(B19=0,0,B19)</f>
        <v>250</v>
      </c>
      <c r="C26" s="5">
        <f>IF(B26=0,0,ROUND(MIN(D19*D27,E19*C13),0))</f>
        <v>344</v>
      </c>
      <c r="D26" s="5">
        <f>IF(B26=0,D27,ROUND(D28/F62,0))</f>
        <v>282</v>
      </c>
      <c r="E26" s="25"/>
      <c r="F26" s="24"/>
      <c r="H26"/>
      <c r="I26"/>
      <c r="J26"/>
      <c r="K26"/>
      <c r="L26"/>
      <c r="N26"/>
      <c r="O26"/>
      <c r="P26"/>
    </row>
    <row r="27" spans="1:16" x14ac:dyDescent="0.2">
      <c r="A27" s="17" t="str">
        <f>CONCATENATE(A$13," ongewapend laag")</f>
        <v>Series 800 Type 1 + R'cel + E'grid ongewapend laag</v>
      </c>
      <c r="B27" s="5">
        <f>IF(OR(B19=0,B12+B13=C19),0,IF(B12+B19=C19,B13-B19,B12+B13-C19))</f>
        <v>0</v>
      </c>
      <c r="C27" s="6">
        <f>IF(B27=0,0,D46)</f>
        <v>0</v>
      </c>
      <c r="D27" s="5">
        <f>IF(B27=0,D28,ROUND(D28/F63,0))</f>
        <v>234</v>
      </c>
      <c r="E27" s="4"/>
      <c r="F27" s="24"/>
      <c r="H27" s="16"/>
      <c r="I27" s="16"/>
      <c r="J27" s="16"/>
      <c r="K27"/>
      <c r="L27"/>
      <c r="N27"/>
      <c r="O27"/>
      <c r="P27"/>
    </row>
    <row r="28" spans="1:16" x14ac:dyDescent="0.2">
      <c r="A28" s="17" t="str">
        <f>CONCATENATE(A$14," ongewapend hoog")</f>
        <v>Series 800 Type 1 + R'cel + E'grid ongewapend hoog</v>
      </c>
      <c r="B28" s="5">
        <f>IF(OR(B14=B20,B14=0),0,IF(B20=0,B14,IF(B12+B13+B14=C20,B14-B20,IF(B12+B13+B20=C20,0,C20-B12-B13-B20))))</f>
        <v>0</v>
      </c>
      <c r="C28" s="6">
        <f>IF(B28=0,0,C46)</f>
        <v>0</v>
      </c>
      <c r="D28" s="26">
        <f>IF(B28=0,D29,ROUND(C31/F64,0))</f>
        <v>234</v>
      </c>
      <c r="E28" s="23">
        <f>D54</f>
        <v>570</v>
      </c>
      <c r="F28" s="24"/>
      <c r="H28" s="27"/>
      <c r="I28" s="16"/>
      <c r="J28" s="16"/>
      <c r="K28"/>
      <c r="L28"/>
      <c r="N28"/>
      <c r="O28"/>
      <c r="P28"/>
    </row>
    <row r="29" spans="1:16" x14ac:dyDescent="0.2">
      <c r="A29" s="17" t="str">
        <f>CONCATENATE(A$14," gewapend")</f>
        <v>Series 800 Type 1 + R'cel + E'grid gewapend</v>
      </c>
      <c r="B29" s="5">
        <f>IF(B20="",0,B20)</f>
        <v>250</v>
      </c>
      <c r="C29" s="5">
        <f>IF(B29=0,0,IF(B30=0,ROUND(MIN(D20*C31,E20*C14),0),ROUND(MIN(D20*D30,E20*C14),0)))</f>
        <v>570</v>
      </c>
      <c r="D29" s="5">
        <f>IF(B29=0,D30,ROUND(C31/F65,0))</f>
        <v>234</v>
      </c>
      <c r="E29" s="25"/>
      <c r="F29" s="24"/>
      <c r="H29" s="16"/>
      <c r="I29" s="16"/>
      <c r="J29" s="16"/>
      <c r="K29"/>
      <c r="L29"/>
      <c r="N29"/>
      <c r="O29"/>
      <c r="P29"/>
    </row>
    <row r="30" spans="1:16" x14ac:dyDescent="0.2">
      <c r="A30" s="17" t="str">
        <f>CONCATENATE(A$14," ongewapend laag")</f>
        <v>Series 800 Type 1 + R'cel + E'grid ongewapend laag</v>
      </c>
      <c r="B30" s="5">
        <f>IF(OR(B20="",B12+B13+B14=C20),0,IF(B12+B13+B20=C20,B14-B20,B12+B13+B14-C20))</f>
        <v>0</v>
      </c>
      <c r="C30" s="6">
        <f>IF(B30=0,0,B46)</f>
        <v>0</v>
      </c>
      <c r="D30" s="6">
        <f>IF(B30=0,C31,ROUND(C31/F66,0))</f>
        <v>105</v>
      </c>
      <c r="E30" s="4"/>
      <c r="F30" s="24"/>
      <c r="H30" s="16"/>
      <c r="I30" s="16"/>
      <c r="J30" s="16"/>
      <c r="K30"/>
      <c r="L30"/>
      <c r="N30"/>
      <c r="O30"/>
      <c r="P30"/>
    </row>
    <row r="31" spans="1:16" x14ac:dyDescent="0.2">
      <c r="A31" s="17" t="s">
        <v>7</v>
      </c>
      <c r="B31" s="5" t="s">
        <v>8</v>
      </c>
      <c r="C31" s="5">
        <f>C15</f>
        <v>105</v>
      </c>
      <c r="D31" s="5">
        <f>C31</f>
        <v>105</v>
      </c>
      <c r="E31" s="5">
        <f>D31</f>
        <v>105</v>
      </c>
      <c r="F31" s="15"/>
      <c r="H31" s="16"/>
      <c r="I31" s="16"/>
      <c r="J31" s="16"/>
      <c r="K31"/>
      <c r="L31"/>
      <c r="N31"/>
      <c r="O31"/>
      <c r="P31"/>
    </row>
    <row r="32" spans="1:16" x14ac:dyDescent="0.2">
      <c r="B32" s="15"/>
      <c r="C32" s="15"/>
      <c r="D32" s="15"/>
      <c r="E32" s="15"/>
      <c r="F32" s="15"/>
      <c r="H32" s="16"/>
      <c r="I32" s="16"/>
      <c r="J32" s="16"/>
      <c r="K32"/>
      <c r="L32"/>
      <c r="N32"/>
      <c r="O32"/>
      <c r="P32"/>
    </row>
    <row r="33" spans="1:16" s="18" customFormat="1" x14ac:dyDescent="0.2">
      <c r="A33" s="18" t="s">
        <v>25</v>
      </c>
      <c r="B33" s="28"/>
      <c r="C33" s="28"/>
      <c r="D33" s="28"/>
      <c r="E33" s="28"/>
      <c r="F33" s="28"/>
      <c r="H33" s="29"/>
      <c r="I33" s="29"/>
      <c r="J33" s="29"/>
    </row>
    <row r="34" spans="1:16" s="18" customFormat="1" x14ac:dyDescent="0.2">
      <c r="A34" s="18" t="s">
        <v>3</v>
      </c>
      <c r="B34" s="28"/>
      <c r="C34" s="28"/>
      <c r="D34" s="28"/>
      <c r="E34" s="28"/>
      <c r="F34" s="28"/>
      <c r="H34" s="29"/>
      <c r="I34" s="29"/>
      <c r="J34" s="29"/>
    </row>
    <row r="35" spans="1:16" s="31" customFormat="1" ht="51" x14ac:dyDescent="0.2">
      <c r="A35" s="19" t="s">
        <v>24</v>
      </c>
      <c r="B35" s="20" t="str">
        <f>CONCATENATE(A14," laag")</f>
        <v>Series 800 Type 1 + R'cel + E'grid laag</v>
      </c>
      <c r="C35" s="20" t="str">
        <f>CONCATENATE(A14," hoog")</f>
        <v>Series 800 Type 1 + R'cel + E'grid hoog</v>
      </c>
      <c r="D35" s="20" t="str">
        <f>CONCATENATE(A13," laag")</f>
        <v>Series 800 Type 1 + R'cel + E'grid laag</v>
      </c>
      <c r="E35" s="20" t="str">
        <f>CONCATENATE(A13," hoog")</f>
        <v>Series 800 Type 1 + R'cel + E'grid hoog</v>
      </c>
      <c r="F35" s="20" t="str">
        <f>CONCATENATE(A14," ongewapend")</f>
        <v>Series 800 Type 1 + R'cel + E'grid ongewapend</v>
      </c>
      <c r="G35" s="20" t="str">
        <f>CONCATENATE(A13," ongewapend")</f>
        <v>Series 800 Type 1 + R'cel + E'grid ongewapend</v>
      </c>
      <c r="H35" s="30"/>
      <c r="I35" s="30"/>
      <c r="J35" s="30"/>
      <c r="L35" s="30"/>
      <c r="M35" s="30"/>
      <c r="N35" s="30"/>
    </row>
    <row r="36" spans="1:16" x14ac:dyDescent="0.2">
      <c r="A36" s="17" t="s">
        <v>23</v>
      </c>
      <c r="B36" s="5">
        <f>B30</f>
        <v>0</v>
      </c>
      <c r="C36" s="5">
        <f>B28</f>
        <v>0</v>
      </c>
      <c r="D36" s="5">
        <f>B27</f>
        <v>0</v>
      </c>
      <c r="E36" s="5">
        <f>B25</f>
        <v>0</v>
      </c>
      <c r="F36" s="5">
        <f>B14</f>
        <v>250</v>
      </c>
      <c r="G36" s="5">
        <f>B13</f>
        <v>250</v>
      </c>
      <c r="H36" s="16"/>
      <c r="I36" s="16"/>
      <c r="J36" s="16"/>
      <c r="K36"/>
      <c r="L36" s="16"/>
      <c r="M36" s="16"/>
      <c r="O36"/>
      <c r="P36"/>
    </row>
    <row r="37" spans="1:16" x14ac:dyDescent="0.2">
      <c r="A37" s="32" t="s">
        <v>16</v>
      </c>
      <c r="B37" s="23">
        <f>C31</f>
        <v>105</v>
      </c>
      <c r="C37" s="23">
        <f>D29</f>
        <v>234</v>
      </c>
      <c r="D37" s="23">
        <f>D28</f>
        <v>234</v>
      </c>
      <c r="E37" s="23">
        <f>D26</f>
        <v>282</v>
      </c>
      <c r="F37" s="5">
        <f>C15</f>
        <v>105</v>
      </c>
      <c r="G37" s="6">
        <f>C15/F67</f>
        <v>124.03388056894863</v>
      </c>
      <c r="H37" s="16"/>
      <c r="I37" s="16"/>
      <c r="J37" s="16"/>
      <c r="K37"/>
      <c r="L37" s="16"/>
      <c r="M37" s="16"/>
      <c r="O37"/>
      <c r="P37"/>
    </row>
    <row r="38" spans="1:16" x14ac:dyDescent="0.2">
      <c r="A38" s="17" t="s">
        <v>21</v>
      </c>
      <c r="B38" s="5">
        <f>C14</f>
        <v>150</v>
      </c>
      <c r="C38" s="5">
        <f>C14</f>
        <v>150</v>
      </c>
      <c r="D38" s="5">
        <f>C13</f>
        <v>80</v>
      </c>
      <c r="E38" s="5">
        <f>C13</f>
        <v>80</v>
      </c>
      <c r="F38" s="5">
        <f>C14</f>
        <v>150</v>
      </c>
      <c r="G38" s="5">
        <f>C13</f>
        <v>80</v>
      </c>
      <c r="H38" s="16"/>
      <c r="I38" s="16"/>
      <c r="J38" s="16"/>
      <c r="K38"/>
      <c r="L38" s="16"/>
      <c r="M38" s="16"/>
      <c r="O38"/>
      <c r="P38"/>
    </row>
    <row r="39" spans="1:16" x14ac:dyDescent="0.2">
      <c r="A39" s="17" t="s">
        <v>22</v>
      </c>
      <c r="B39" s="6">
        <f t="shared" ref="B39:G39" si="0">B37*2^(B36/125)</f>
        <v>105</v>
      </c>
      <c r="C39" s="6">
        <f t="shared" si="0"/>
        <v>234</v>
      </c>
      <c r="D39" s="6">
        <f t="shared" si="0"/>
        <v>234</v>
      </c>
      <c r="E39" s="6">
        <f t="shared" si="0"/>
        <v>282</v>
      </c>
      <c r="F39" s="6">
        <f t="shared" si="0"/>
        <v>420</v>
      </c>
      <c r="G39" s="6">
        <f t="shared" si="0"/>
        <v>496.13552227579453</v>
      </c>
      <c r="H39" s="16"/>
      <c r="I39" s="16"/>
      <c r="J39" s="16"/>
      <c r="K39"/>
      <c r="L39" s="16"/>
      <c r="M39" s="16"/>
      <c r="O39"/>
      <c r="P39"/>
    </row>
    <row r="40" spans="1:16" x14ac:dyDescent="0.2">
      <c r="A40" s="17" t="s">
        <v>2</v>
      </c>
      <c r="B40" s="33">
        <f>(B39/B37)^(1/5)</f>
        <v>1</v>
      </c>
      <c r="C40" s="33">
        <f>(C39/C37)^(1/5)</f>
        <v>1</v>
      </c>
      <c r="D40" s="33">
        <f t="shared" ref="D40:E40" si="1">(D39/D37)^(1/5)</f>
        <v>1</v>
      </c>
      <c r="E40" s="33">
        <f t="shared" si="1"/>
        <v>1</v>
      </c>
      <c r="F40" s="33">
        <f>(F39/F37)^(1/5)</f>
        <v>1.3195079107728942</v>
      </c>
      <c r="G40" s="33">
        <f>(G39/G37)^(1/5)</f>
        <v>1.3195079107728942</v>
      </c>
      <c r="H40" s="16"/>
      <c r="I40" s="16"/>
      <c r="J40" s="16"/>
      <c r="K40"/>
      <c r="L40" s="16"/>
      <c r="M40" s="16"/>
      <c r="O40"/>
      <c r="P40"/>
    </row>
    <row r="41" spans="1:16" x14ac:dyDescent="0.2">
      <c r="A41" s="34" t="s">
        <v>11</v>
      </c>
      <c r="B41" s="35">
        <f t="shared" ref="B41:G41" si="2">MIN(B40*B42,B38)</f>
        <v>105</v>
      </c>
      <c r="C41" s="35">
        <f t="shared" si="2"/>
        <v>150</v>
      </c>
      <c r="D41" s="35">
        <f t="shared" si="2"/>
        <v>80</v>
      </c>
      <c r="E41" s="35">
        <f t="shared" si="2"/>
        <v>80</v>
      </c>
      <c r="F41" s="35">
        <f t="shared" si="2"/>
        <v>150</v>
      </c>
      <c r="G41" s="35">
        <f t="shared" si="2"/>
        <v>80</v>
      </c>
      <c r="H41" s="16"/>
      <c r="I41" s="16"/>
      <c r="J41" s="16"/>
      <c r="K41"/>
      <c r="L41" s="16"/>
      <c r="M41" s="16"/>
      <c r="O41"/>
      <c r="P41"/>
    </row>
    <row r="42" spans="1:16" x14ac:dyDescent="0.2">
      <c r="A42" s="34" t="s">
        <v>12</v>
      </c>
      <c r="B42" s="35">
        <f t="shared" ref="B42:G42" si="3">MIN(B40*B43,B38)</f>
        <v>105</v>
      </c>
      <c r="C42" s="35">
        <f t="shared" si="3"/>
        <v>150</v>
      </c>
      <c r="D42" s="35">
        <f t="shared" si="3"/>
        <v>80</v>
      </c>
      <c r="E42" s="35">
        <f t="shared" si="3"/>
        <v>80</v>
      </c>
      <c r="F42" s="35">
        <f t="shared" si="3"/>
        <v>150</v>
      </c>
      <c r="G42" s="35">
        <f t="shared" si="3"/>
        <v>80</v>
      </c>
      <c r="H42" s="16"/>
      <c r="I42" s="16"/>
      <c r="J42" s="16"/>
      <c r="K42"/>
      <c r="L42" s="16"/>
      <c r="M42" s="16"/>
      <c r="O42"/>
      <c r="P42"/>
    </row>
    <row r="43" spans="1:16" x14ac:dyDescent="0.2">
      <c r="A43" s="34" t="s">
        <v>13</v>
      </c>
      <c r="B43" s="35">
        <f t="shared" ref="B43:G43" si="4">MIN(B40*B44,B38)</f>
        <v>105</v>
      </c>
      <c r="C43" s="35">
        <f t="shared" si="4"/>
        <v>150</v>
      </c>
      <c r="D43" s="35">
        <f t="shared" si="4"/>
        <v>80</v>
      </c>
      <c r="E43" s="35">
        <f t="shared" si="4"/>
        <v>80</v>
      </c>
      <c r="F43" s="35">
        <f t="shared" si="4"/>
        <v>150</v>
      </c>
      <c r="G43" s="35">
        <f t="shared" si="4"/>
        <v>80</v>
      </c>
      <c r="H43" s="16"/>
      <c r="I43" s="16"/>
      <c r="J43" s="16"/>
      <c r="K43"/>
      <c r="L43"/>
      <c r="N43"/>
      <c r="O43"/>
      <c r="P43"/>
    </row>
    <row r="44" spans="1:16" x14ac:dyDescent="0.2">
      <c r="A44" s="34" t="s">
        <v>14</v>
      </c>
      <c r="B44" s="35">
        <f t="shared" ref="B44:G44" si="5">MIN(B40*B45,B38)</f>
        <v>105</v>
      </c>
      <c r="C44" s="35">
        <f t="shared" si="5"/>
        <v>150</v>
      </c>
      <c r="D44" s="35">
        <f t="shared" si="5"/>
        <v>80</v>
      </c>
      <c r="E44" s="35">
        <f t="shared" si="5"/>
        <v>80</v>
      </c>
      <c r="F44" s="35">
        <f t="shared" si="5"/>
        <v>150</v>
      </c>
      <c r="G44" s="35">
        <f t="shared" si="5"/>
        <v>80</v>
      </c>
      <c r="H44" s="16"/>
      <c r="I44" s="16"/>
      <c r="J44" s="16"/>
      <c r="K44"/>
      <c r="L44"/>
      <c r="N44"/>
      <c r="O44"/>
      <c r="P44"/>
    </row>
    <row r="45" spans="1:16" x14ac:dyDescent="0.2">
      <c r="A45" s="34" t="s">
        <v>15</v>
      </c>
      <c r="B45" s="35">
        <f>MIN(B40*B37,B38)</f>
        <v>105</v>
      </c>
      <c r="C45" s="35">
        <f>MIN(C40*C37,C38)</f>
        <v>150</v>
      </c>
      <c r="D45" s="35">
        <f t="shared" ref="D45:E45" si="6">MIN(D40*D37,D38)</f>
        <v>80</v>
      </c>
      <c r="E45" s="35">
        <f t="shared" si="6"/>
        <v>80</v>
      </c>
      <c r="F45" s="35">
        <f>MIN(F40*F37,F38)</f>
        <v>138.5483306311539</v>
      </c>
      <c r="G45" s="35">
        <f>MIN(G40*G37,G38)</f>
        <v>80</v>
      </c>
      <c r="H45" s="16"/>
      <c r="I45" s="16"/>
      <c r="J45" s="16"/>
      <c r="K45"/>
      <c r="L45"/>
      <c r="N45"/>
      <c r="O45"/>
      <c r="P45"/>
    </row>
    <row r="46" spans="1:16" x14ac:dyDescent="0.2">
      <c r="A46" s="34" t="s">
        <v>10</v>
      </c>
      <c r="B46" s="35">
        <f>ROUND(AVERAGE(B41:B45),0)</f>
        <v>105</v>
      </c>
      <c r="C46" s="35">
        <f t="shared" ref="C46:E46" si="7">ROUND(AVERAGE(C41:C45),0)</f>
        <v>150</v>
      </c>
      <c r="D46" s="35">
        <f t="shared" si="7"/>
        <v>80</v>
      </c>
      <c r="E46" s="35">
        <f t="shared" si="7"/>
        <v>80</v>
      </c>
      <c r="F46" s="35">
        <f>ROUND(AVERAGE(F41:F45),0)</f>
        <v>148</v>
      </c>
      <c r="G46" s="35">
        <f>ROUND(AVERAGE(G41:G45),0)</f>
        <v>80</v>
      </c>
      <c r="H46" s="16"/>
      <c r="I46" s="16"/>
      <c r="J46" s="16"/>
      <c r="K46"/>
      <c r="L46"/>
      <c r="N46"/>
      <c r="O46"/>
      <c r="P46"/>
    </row>
    <row r="47" spans="1:16" x14ac:dyDescent="0.2">
      <c r="B47" s="15"/>
      <c r="C47" s="15"/>
      <c r="D47" s="15"/>
      <c r="E47" s="15"/>
      <c r="F47" s="15"/>
      <c r="H47" s="16"/>
      <c r="I47" s="16"/>
      <c r="J47" s="16"/>
      <c r="K47"/>
      <c r="L47"/>
      <c r="N47"/>
      <c r="O47"/>
      <c r="P47"/>
    </row>
    <row r="48" spans="1:16" s="18" customFormat="1" x14ac:dyDescent="0.2">
      <c r="A48" s="36" t="s">
        <v>26</v>
      </c>
      <c r="B48" s="28"/>
      <c r="C48" s="28"/>
      <c r="D48" s="28"/>
      <c r="E48" s="28"/>
      <c r="F48" s="28"/>
      <c r="H48" s="29"/>
      <c r="I48" s="29"/>
      <c r="J48" s="29"/>
    </row>
    <row r="49" spans="1:16" s="18" customFormat="1" x14ac:dyDescent="0.2">
      <c r="A49" s="36" t="s">
        <v>46</v>
      </c>
      <c r="B49" s="28"/>
      <c r="C49" s="28"/>
      <c r="D49" s="28"/>
      <c r="E49" s="28"/>
      <c r="F49" s="28"/>
      <c r="H49" s="29"/>
      <c r="I49" s="29"/>
      <c r="J49" s="29"/>
    </row>
    <row r="50" spans="1:16" x14ac:dyDescent="0.2">
      <c r="A50" s="37" t="s">
        <v>20</v>
      </c>
      <c r="B50" s="21" t="s">
        <v>6</v>
      </c>
      <c r="C50" s="21" t="s">
        <v>1</v>
      </c>
      <c r="D50" s="21" t="s">
        <v>17</v>
      </c>
      <c r="E50" s="15"/>
      <c r="F50" s="15"/>
      <c r="H50" s="16"/>
      <c r="I50" s="16"/>
      <c r="J50" s="16"/>
      <c r="K50"/>
      <c r="L50"/>
      <c r="N50"/>
      <c r="O50"/>
      <c r="P50"/>
    </row>
    <row r="51" spans="1:16" x14ac:dyDescent="0.2">
      <c r="A51" s="17" t="str">
        <f>CONCATENATE(A$13," ongewapend hoog en dieper")</f>
        <v>Series 800 Type 1 + R'cel + E'grid ongewapend hoog en dieper</v>
      </c>
      <c r="B51" s="5">
        <f t="shared" ref="B51:B56" si="8">IF(B25="",0,B25)</f>
        <v>0</v>
      </c>
      <c r="C51" s="38">
        <f t="shared" ref="C51:C56" si="9">IF(B51&gt;0,C25,0)</f>
        <v>0</v>
      </c>
      <c r="D51" s="5">
        <f>ROUND(((B51*C51^(1/3)+B52*C52^(1/3)+B53*C53^(1/3))/(B51+B52+B53))^3,0)</f>
        <v>344</v>
      </c>
      <c r="E51" s="15"/>
      <c r="F51" s="15"/>
      <c r="H51" s="16"/>
      <c r="I51" s="16"/>
      <c r="J51" s="16"/>
      <c r="K51"/>
      <c r="L51"/>
      <c r="N51"/>
      <c r="O51"/>
      <c r="P51"/>
    </row>
    <row r="52" spans="1:16" x14ac:dyDescent="0.2">
      <c r="A52" s="17" t="str">
        <f>CONCATENATE(A$13," gewapend en dieper")</f>
        <v>Series 800 Type 1 + R'cel + E'grid gewapend en dieper</v>
      </c>
      <c r="B52" s="5">
        <f t="shared" si="8"/>
        <v>250</v>
      </c>
      <c r="C52" s="38">
        <f t="shared" si="9"/>
        <v>344</v>
      </c>
      <c r="D52" s="5">
        <f>IF(B52+B53=0,0,IF(B53=0,C52,ROUND(((B52*C52^(1/3)+B53*C53^(1/3))/(B52+B53))^3,0)))</f>
        <v>344</v>
      </c>
      <c r="E52" s="15"/>
      <c r="F52" s="15"/>
      <c r="H52" s="16"/>
      <c r="I52" s="16"/>
      <c r="J52" s="16"/>
      <c r="K52"/>
      <c r="L52"/>
      <c r="N52"/>
      <c r="O52"/>
      <c r="P52"/>
    </row>
    <row r="53" spans="1:16" x14ac:dyDescent="0.2">
      <c r="A53" s="17" t="str">
        <f>CONCATENATE(A$13," ongewapend laag")</f>
        <v>Series 800 Type 1 + R'cel + E'grid ongewapend laag</v>
      </c>
      <c r="B53" s="5">
        <f t="shared" si="8"/>
        <v>0</v>
      </c>
      <c r="C53" s="38">
        <f t="shared" si="9"/>
        <v>0</v>
      </c>
      <c r="D53" s="5">
        <f>C53</f>
        <v>0</v>
      </c>
      <c r="E53" s="15"/>
      <c r="F53" s="15"/>
      <c r="H53" s="16"/>
      <c r="I53" s="16"/>
      <c r="J53" s="16"/>
      <c r="K53"/>
      <c r="L53"/>
      <c r="N53"/>
      <c r="O53"/>
      <c r="P53"/>
    </row>
    <row r="54" spans="1:16" x14ac:dyDescent="0.2">
      <c r="A54" s="17" t="str">
        <f>CONCATENATE(A$14," ongewapend hoog en dieper")</f>
        <v>Series 800 Type 1 + R'cel + E'grid ongewapend hoog en dieper</v>
      </c>
      <c r="B54" s="5">
        <f t="shared" si="8"/>
        <v>0</v>
      </c>
      <c r="C54" s="38">
        <f t="shared" si="9"/>
        <v>0</v>
      </c>
      <c r="D54" s="5">
        <f>IF(B54+B55+B56=0,0,ROUND(((B54*C54^(1/3)+B55*C55^(1/3)+B56*C56^(1/3))/(B54+B55+B56))^3,0))</f>
        <v>570</v>
      </c>
      <c r="E54" s="15"/>
      <c r="F54" s="15"/>
      <c r="H54" s="16"/>
      <c r="I54" s="16"/>
      <c r="J54" s="16"/>
      <c r="K54"/>
      <c r="L54"/>
      <c r="N54"/>
      <c r="O54"/>
      <c r="P54"/>
    </row>
    <row r="55" spans="1:16" x14ac:dyDescent="0.2">
      <c r="A55" s="17" t="str">
        <f>CONCATENATE(A$14," gewapend en dieper")</f>
        <v>Series 800 Type 1 + R'cel + E'grid gewapend en dieper</v>
      </c>
      <c r="B55" s="5">
        <f t="shared" si="8"/>
        <v>250</v>
      </c>
      <c r="C55" s="38">
        <f t="shared" si="9"/>
        <v>570</v>
      </c>
      <c r="D55" s="5">
        <f>IF(B55+B56=0,0,IF(B56=0,C55,ROUND(((B55*C55^(1/3)+B56*C56^(1/3))/(B55+B56))^3,0)))</f>
        <v>570</v>
      </c>
      <c r="E55" s="15"/>
      <c r="F55" s="15"/>
      <c r="H55" s="16"/>
      <c r="I55" s="16"/>
      <c r="J55" s="16"/>
      <c r="K55"/>
      <c r="L55"/>
      <c r="N55"/>
      <c r="O55"/>
      <c r="P55"/>
    </row>
    <row r="56" spans="1:16" x14ac:dyDescent="0.2">
      <c r="A56" s="17" t="str">
        <f>CONCATENATE(A$14," ongewapend laag")</f>
        <v>Series 800 Type 1 + R'cel + E'grid ongewapend laag</v>
      </c>
      <c r="B56" s="5">
        <f t="shared" si="8"/>
        <v>0</v>
      </c>
      <c r="C56" s="38">
        <f t="shared" si="9"/>
        <v>0</v>
      </c>
      <c r="D56" s="5">
        <f>C56</f>
        <v>0</v>
      </c>
      <c r="E56" s="15"/>
      <c r="F56" s="15"/>
      <c r="H56" s="16"/>
      <c r="I56" s="16"/>
      <c r="J56" s="16"/>
      <c r="K56"/>
      <c r="L56"/>
      <c r="N56"/>
      <c r="O56"/>
      <c r="P56"/>
    </row>
    <row r="57" spans="1:16" x14ac:dyDescent="0.2">
      <c r="B57" s="15"/>
      <c r="C57" s="15"/>
      <c r="D57" s="15"/>
      <c r="E57" s="15"/>
      <c r="F57" s="15"/>
      <c r="H57" s="16"/>
      <c r="I57" s="16"/>
      <c r="J57" s="16"/>
      <c r="K57"/>
      <c r="L57"/>
      <c r="N57"/>
      <c r="O57"/>
      <c r="P57"/>
    </row>
    <row r="58" spans="1:16" s="18" customFormat="1" x14ac:dyDescent="0.2">
      <c r="A58" s="18" t="s">
        <v>28</v>
      </c>
      <c r="B58" s="28"/>
      <c r="C58" s="28"/>
      <c r="D58" s="28"/>
      <c r="E58" s="28"/>
      <c r="F58" s="28"/>
      <c r="H58" s="29"/>
      <c r="I58" s="29"/>
      <c r="J58" s="29"/>
    </row>
    <row r="59" spans="1:16" s="18" customFormat="1" x14ac:dyDescent="0.2">
      <c r="A59" s="18" t="s">
        <v>31</v>
      </c>
      <c r="B59" s="28"/>
      <c r="C59" s="28"/>
      <c r="D59" s="28"/>
      <c r="E59" s="28"/>
      <c r="F59" s="28"/>
      <c r="H59" s="29"/>
      <c r="I59" s="29"/>
      <c r="J59" s="29"/>
    </row>
    <row r="60" spans="1:16" s="31" customFormat="1" x14ac:dyDescent="0.2">
      <c r="A60" s="19" t="s">
        <v>20</v>
      </c>
      <c r="B60" s="21" t="s">
        <v>9</v>
      </c>
      <c r="C60" s="21" t="s">
        <v>6</v>
      </c>
      <c r="D60" s="21" t="s">
        <v>5</v>
      </c>
      <c r="E60" s="21" t="s">
        <v>4</v>
      </c>
      <c r="F60" s="21" t="s">
        <v>19</v>
      </c>
      <c r="I60" s="39"/>
      <c r="J60" s="30"/>
      <c r="K60" s="30"/>
    </row>
    <row r="61" spans="1:16" x14ac:dyDescent="0.2">
      <c r="A61" s="17" t="str">
        <f>CONCATENATE(A$13," ongewapend hoog en dieper")</f>
        <v>Series 800 Type 1 + R'cel + E'grid ongewapend hoog en dieper</v>
      </c>
      <c r="B61" s="5">
        <v>150</v>
      </c>
      <c r="C61" s="5">
        <f>B25+B26+B27</f>
        <v>250</v>
      </c>
      <c r="D61" s="40">
        <f>IF(C61=0,"",B61/C61)</f>
        <v>0.6</v>
      </c>
      <c r="E61" s="40">
        <f>D51/D28</f>
        <v>1.4700854700854702</v>
      </c>
      <c r="F61" s="40">
        <f>IF(D61="","",(B61/SQRT(B61^2+C61^2*E61^(2/3)))*(1-1/E61)+1/E61)</f>
        <v>0.82946507354766585</v>
      </c>
      <c r="H61"/>
      <c r="J61" s="16"/>
      <c r="K61" s="41"/>
      <c r="L61" s="41"/>
      <c r="N61"/>
      <c r="O61"/>
      <c r="P61"/>
    </row>
    <row r="62" spans="1:16" x14ac:dyDescent="0.2">
      <c r="A62" s="17" t="str">
        <f>CONCATENATE(A$13," gewapend en dieper")</f>
        <v>Series 800 Type 1 + R'cel + E'grid gewapend en dieper</v>
      </c>
      <c r="B62" s="5">
        <v>150</v>
      </c>
      <c r="C62" s="5">
        <f>B26+B27</f>
        <v>250</v>
      </c>
      <c r="D62" s="40">
        <f t="shared" ref="D62:D67" si="10">IF(C62=0,"",B62/C62)</f>
        <v>0.6</v>
      </c>
      <c r="E62" s="40">
        <f>D52/D28</f>
        <v>1.4700854700854702</v>
      </c>
      <c r="F62" s="40">
        <f t="shared" ref="F62:F67" si="11">IF(D62="","",(B62/SQRT(B62^2+C62^2*E62^(2/3)))*(1-1/E62)+1/E62)</f>
        <v>0.82946507354766585</v>
      </c>
      <c r="H62"/>
      <c r="J62" s="16"/>
      <c r="K62" s="41"/>
      <c r="L62" s="41"/>
      <c r="N62"/>
      <c r="O62"/>
      <c r="P62"/>
    </row>
    <row r="63" spans="1:16" x14ac:dyDescent="0.2">
      <c r="A63" s="17" t="str">
        <f>CONCATENATE(A$13," ongewapend laag")</f>
        <v>Series 800 Type 1 + R'cel + E'grid ongewapend laag</v>
      </c>
      <c r="B63" s="5">
        <v>150</v>
      </c>
      <c r="C63" s="5">
        <f>B27</f>
        <v>0</v>
      </c>
      <c r="D63" s="40" t="str">
        <f t="shared" si="10"/>
        <v/>
      </c>
      <c r="E63" s="40">
        <f>D53/D28</f>
        <v>0</v>
      </c>
      <c r="F63" s="40" t="str">
        <f t="shared" si="11"/>
        <v/>
      </c>
      <c r="H63"/>
      <c r="J63" s="16"/>
      <c r="K63" s="41"/>
      <c r="L63" s="41"/>
      <c r="N63"/>
      <c r="O63"/>
      <c r="P63"/>
    </row>
    <row r="64" spans="1:16" x14ac:dyDescent="0.2">
      <c r="A64" s="17" t="str">
        <f>CONCATENATE(A$14," ongewapend hoog en dieper")</f>
        <v>Series 800 Type 1 + R'cel + E'grid ongewapend hoog en dieper</v>
      </c>
      <c r="B64" s="5">
        <v>150</v>
      </c>
      <c r="C64" s="5">
        <f>B28+B29+B30</f>
        <v>250</v>
      </c>
      <c r="D64" s="40">
        <f t="shared" si="10"/>
        <v>0.6</v>
      </c>
      <c r="E64" s="40">
        <f>D54/C31</f>
        <v>5.4285714285714288</v>
      </c>
      <c r="F64" s="40">
        <f t="shared" si="11"/>
        <v>0.44777998331553814</v>
      </c>
      <c r="H64"/>
      <c r="J64" s="16"/>
      <c r="K64" s="41"/>
      <c r="L64" s="41"/>
      <c r="N64"/>
      <c r="O64"/>
      <c r="P64"/>
    </row>
    <row r="65" spans="1:16" x14ac:dyDescent="0.2">
      <c r="A65" s="17" t="str">
        <f>CONCATENATE(A$14," gewapend en dieper")</f>
        <v>Series 800 Type 1 + R'cel + E'grid gewapend en dieper</v>
      </c>
      <c r="B65" s="5">
        <v>150</v>
      </c>
      <c r="C65" s="5">
        <f>B29+B30</f>
        <v>250</v>
      </c>
      <c r="D65" s="40">
        <f t="shared" si="10"/>
        <v>0.6</v>
      </c>
      <c r="E65" s="40">
        <f>D55/C31</f>
        <v>5.4285714285714288</v>
      </c>
      <c r="F65" s="40">
        <f t="shared" si="11"/>
        <v>0.44777998331553814</v>
      </c>
      <c r="H65"/>
      <c r="J65" s="16"/>
      <c r="K65" s="41"/>
      <c r="L65" s="41"/>
      <c r="N65"/>
      <c r="O65"/>
      <c r="P65"/>
    </row>
    <row r="66" spans="1:16" x14ac:dyDescent="0.2">
      <c r="A66" s="17" t="str">
        <f>CONCATENATE(A$14," ongewapend laag")</f>
        <v>Series 800 Type 1 + R'cel + E'grid ongewapend laag</v>
      </c>
      <c r="B66" s="5">
        <v>150</v>
      </c>
      <c r="C66" s="5">
        <f>B30</f>
        <v>0</v>
      </c>
      <c r="D66" s="40" t="str">
        <f t="shared" si="10"/>
        <v/>
      </c>
      <c r="E66" s="40">
        <f>D56/C31</f>
        <v>0</v>
      </c>
      <c r="F66" s="40" t="str">
        <f t="shared" si="11"/>
        <v/>
      </c>
      <c r="H66"/>
      <c r="J66" s="16"/>
      <c r="K66" s="41"/>
      <c r="L66" s="41"/>
      <c r="N66"/>
      <c r="O66"/>
      <c r="P66"/>
    </row>
    <row r="67" spans="1:16" x14ac:dyDescent="0.2">
      <c r="A67" s="17" t="str">
        <f>CONCATENATE(A$14," volledig ongewapend en dieper")</f>
        <v>Series 800 Type 1 + R'cel + E'grid volledig ongewapend en dieper</v>
      </c>
      <c r="B67" s="5">
        <v>150</v>
      </c>
      <c r="C67" s="5">
        <f>B14</f>
        <v>250</v>
      </c>
      <c r="D67" s="40">
        <f t="shared" si="10"/>
        <v>0.6</v>
      </c>
      <c r="E67" s="40">
        <f>F46/C15</f>
        <v>1.4095238095238096</v>
      </c>
      <c r="F67" s="40">
        <f t="shared" si="11"/>
        <v>0.84654289229975377</v>
      </c>
      <c r="H67"/>
      <c r="J67" s="16"/>
      <c r="K67" s="41"/>
      <c r="L67" s="41"/>
      <c r="N67"/>
      <c r="O67"/>
      <c r="P67"/>
    </row>
    <row r="68" spans="1:16" x14ac:dyDescent="0.2">
      <c r="B68" s="15"/>
      <c r="C68" s="15"/>
      <c r="D68" s="15"/>
      <c r="E68" s="15"/>
      <c r="F68" s="15"/>
      <c r="H68" s="16"/>
      <c r="I68" s="16"/>
      <c r="J68" s="16"/>
      <c r="K68"/>
      <c r="L68"/>
      <c r="N68"/>
      <c r="O68"/>
      <c r="P68"/>
    </row>
    <row r="69" spans="1:16" x14ac:dyDescent="0.2">
      <c r="B69" s="15"/>
      <c r="C69" s="15"/>
      <c r="D69" s="15"/>
      <c r="E69" s="15"/>
      <c r="F69" s="15"/>
      <c r="H69" s="16"/>
      <c r="I69" s="16"/>
      <c r="J69" s="16"/>
      <c r="K69"/>
      <c r="L69"/>
      <c r="N69"/>
      <c r="O69"/>
      <c r="P69"/>
    </row>
    <row r="70" spans="1:16" x14ac:dyDescent="0.2">
      <c r="B70" s="15"/>
      <c r="C70" s="15"/>
      <c r="D70" s="15"/>
      <c r="E70" s="15"/>
      <c r="F70" s="15"/>
      <c r="H70" s="16"/>
      <c r="I70" s="16"/>
      <c r="J70" s="16"/>
      <c r="K70"/>
      <c r="L70"/>
      <c r="N70"/>
      <c r="O70"/>
      <c r="P70"/>
    </row>
    <row r="71" spans="1:16" x14ac:dyDescent="0.2">
      <c r="B71" s="15"/>
      <c r="C71" s="15"/>
      <c r="D71" s="15"/>
      <c r="E71" s="15"/>
      <c r="F71" s="15"/>
      <c r="H71" s="16"/>
      <c r="I71" s="16"/>
      <c r="J71" s="16"/>
      <c r="K71"/>
      <c r="L71"/>
      <c r="N71"/>
      <c r="O71"/>
      <c r="P71"/>
    </row>
    <row r="72" spans="1:16" x14ac:dyDescent="0.2">
      <c r="B72" s="15"/>
      <c r="C72" s="15"/>
      <c r="D72" s="15"/>
      <c r="E72" s="15"/>
      <c r="F72" s="15"/>
      <c r="H72" s="16"/>
      <c r="I72" s="16"/>
      <c r="J72" s="16"/>
      <c r="K72"/>
      <c r="L72"/>
      <c r="N72"/>
      <c r="O72"/>
      <c r="P72"/>
    </row>
    <row r="73" spans="1:16" x14ac:dyDescent="0.2">
      <c r="B73" s="15"/>
      <c r="C73" s="15"/>
      <c r="D73" s="15"/>
      <c r="E73" s="15"/>
      <c r="F73" s="15"/>
      <c r="H73" s="16"/>
      <c r="I73" s="16"/>
      <c r="J73" s="16"/>
      <c r="K73"/>
      <c r="L73"/>
      <c r="N73"/>
      <c r="O73"/>
      <c r="P73"/>
    </row>
    <row r="74" spans="1:16" x14ac:dyDescent="0.2">
      <c r="B74" s="15"/>
      <c r="C74" s="15"/>
      <c r="D74" s="15"/>
      <c r="E74" s="15"/>
      <c r="F74" s="15"/>
      <c r="H74" s="16"/>
      <c r="I74" s="16"/>
      <c r="J74" s="16"/>
      <c r="K74"/>
      <c r="L74"/>
      <c r="N74"/>
      <c r="O74"/>
      <c r="P74"/>
    </row>
    <row r="75" spans="1:16" x14ac:dyDescent="0.2">
      <c r="B75" s="15"/>
      <c r="C75" s="15"/>
      <c r="D75" s="15"/>
      <c r="E75" s="15"/>
      <c r="F75" s="15"/>
      <c r="H75" s="16"/>
      <c r="I75" s="16"/>
      <c r="J75" s="16"/>
      <c r="K75"/>
      <c r="L75"/>
      <c r="N75"/>
      <c r="O75"/>
      <c r="P75"/>
    </row>
    <row r="76" spans="1:16" x14ac:dyDescent="0.2">
      <c r="B76" s="15"/>
      <c r="C76" s="15"/>
      <c r="D76" s="15"/>
      <c r="E76" s="15"/>
      <c r="F76" s="15"/>
      <c r="H76" s="16"/>
      <c r="I76" s="16"/>
      <c r="J76" s="16"/>
      <c r="K76"/>
      <c r="L76"/>
      <c r="N76"/>
      <c r="O76"/>
      <c r="P76"/>
    </row>
    <row r="77" spans="1:16" x14ac:dyDescent="0.2">
      <c r="B77" s="15"/>
      <c r="C77" s="15"/>
      <c r="D77" s="15"/>
      <c r="E77" s="15"/>
      <c r="F77" s="15"/>
      <c r="H77" s="16"/>
      <c r="I77" s="16"/>
      <c r="J77" s="16"/>
      <c r="K77"/>
      <c r="L77"/>
      <c r="N77"/>
      <c r="O77"/>
      <c r="P77"/>
    </row>
    <row r="78" spans="1:16" x14ac:dyDescent="0.2">
      <c r="B78" s="15"/>
      <c r="C78" s="15"/>
      <c r="D78" s="15"/>
      <c r="E78" s="15"/>
      <c r="F78" s="15"/>
      <c r="H78" s="16"/>
      <c r="I78" s="16"/>
      <c r="J78" s="16"/>
      <c r="K78"/>
      <c r="L78"/>
      <c r="N78"/>
      <c r="O78"/>
      <c r="P78"/>
    </row>
    <row r="79" spans="1:16" x14ac:dyDescent="0.2">
      <c r="B79" s="15"/>
      <c r="C79" s="15"/>
      <c r="D79" s="15"/>
      <c r="E79" s="15"/>
      <c r="F79" s="15"/>
      <c r="H79" s="16"/>
      <c r="I79" s="16"/>
      <c r="J79" s="16"/>
      <c r="K79"/>
      <c r="L79"/>
      <c r="N79"/>
      <c r="O79"/>
      <c r="P79"/>
    </row>
    <row r="80" spans="1:16" x14ac:dyDescent="0.2">
      <c r="B80" s="15"/>
      <c r="C80" s="15"/>
      <c r="D80" s="15"/>
      <c r="E80" s="15"/>
      <c r="F80" s="15"/>
      <c r="H80" s="16"/>
      <c r="I80" s="16"/>
      <c r="J80" s="16"/>
      <c r="K80"/>
      <c r="L80"/>
      <c r="N80"/>
      <c r="O80"/>
      <c r="P80"/>
    </row>
    <row r="81" spans="2:16" x14ac:dyDescent="0.2">
      <c r="B81" s="15"/>
      <c r="C81" s="15"/>
      <c r="D81" s="15"/>
      <c r="E81" s="15"/>
      <c r="F81" s="15"/>
      <c r="H81" s="16"/>
      <c r="I81" s="16"/>
      <c r="J81" s="16"/>
      <c r="K81"/>
      <c r="L81"/>
      <c r="N81"/>
      <c r="O81"/>
      <c r="P81"/>
    </row>
    <row r="82" spans="2:16" x14ac:dyDescent="0.2">
      <c r="B82" s="15"/>
      <c r="C82" s="15"/>
      <c r="D82" s="15"/>
      <c r="E82" s="15"/>
      <c r="F82" s="15"/>
      <c r="H82" s="16"/>
      <c r="I82" s="16"/>
      <c r="J82" s="16"/>
      <c r="K82"/>
      <c r="L82"/>
      <c r="N82"/>
      <c r="O82"/>
      <c r="P82"/>
    </row>
    <row r="83" spans="2:16" x14ac:dyDescent="0.2">
      <c r="B83" s="15"/>
      <c r="C83" s="15"/>
      <c r="D83" s="15"/>
      <c r="E83" s="15"/>
      <c r="F83" s="15"/>
      <c r="H83" s="16"/>
      <c r="I83" s="16"/>
      <c r="J83" s="16"/>
      <c r="K83"/>
      <c r="L83"/>
      <c r="N83"/>
      <c r="O83"/>
      <c r="P83"/>
    </row>
    <row r="84" spans="2:16" x14ac:dyDescent="0.2">
      <c r="B84" s="15"/>
      <c r="C84" s="15"/>
      <c r="D84" s="15"/>
      <c r="E84" s="15"/>
      <c r="F84" s="15"/>
      <c r="H84" s="16"/>
      <c r="I84" s="16"/>
      <c r="J84" s="16"/>
      <c r="K84"/>
      <c r="L84"/>
      <c r="N84"/>
      <c r="O84"/>
      <c r="P84"/>
    </row>
    <row r="85" spans="2:16" x14ac:dyDescent="0.2">
      <c r="B85" s="15"/>
      <c r="C85" s="15"/>
      <c r="D85" s="15"/>
      <c r="E85" s="15"/>
      <c r="F85" s="15"/>
      <c r="H85" s="16"/>
      <c r="I85" s="16"/>
      <c r="J85" s="16"/>
      <c r="K85"/>
      <c r="L85"/>
      <c r="N85"/>
      <c r="O85"/>
      <c r="P85"/>
    </row>
    <row r="86" spans="2:16" x14ac:dyDescent="0.2">
      <c r="B86" s="15"/>
      <c r="C86" s="15"/>
      <c r="D86" s="15"/>
      <c r="E86" s="15"/>
      <c r="F86" s="15"/>
      <c r="H86" s="16"/>
      <c r="I86" s="16"/>
      <c r="J86" s="16"/>
      <c r="K86"/>
      <c r="L86"/>
      <c r="N86"/>
      <c r="O86"/>
      <c r="P86"/>
    </row>
    <row r="87" spans="2:16" x14ac:dyDescent="0.2">
      <c r="B87" s="15"/>
      <c r="C87" s="15"/>
      <c r="D87" s="15"/>
      <c r="E87" s="15"/>
      <c r="F87" s="15"/>
      <c r="H87" s="16"/>
      <c r="I87" s="16"/>
      <c r="J87" s="16"/>
      <c r="K87"/>
      <c r="L87"/>
      <c r="N87"/>
      <c r="O87"/>
      <c r="P87"/>
    </row>
    <row r="88" spans="2:16" x14ac:dyDescent="0.2">
      <c r="B88" s="15"/>
      <c r="C88" s="15"/>
      <c r="D88" s="15"/>
      <c r="E88" s="15"/>
      <c r="F88" s="15"/>
      <c r="H88" s="16"/>
      <c r="I88" s="16"/>
      <c r="J88" s="16"/>
      <c r="K88"/>
      <c r="L88"/>
      <c r="N88"/>
      <c r="O88"/>
      <c r="P88"/>
    </row>
    <row r="89" spans="2:16" x14ac:dyDescent="0.2">
      <c r="B89" s="15"/>
      <c r="C89" s="15"/>
      <c r="D89" s="15"/>
      <c r="E89" s="15"/>
      <c r="F89" s="15"/>
      <c r="H89" s="16"/>
      <c r="I89" s="16"/>
      <c r="J89" s="16"/>
      <c r="K89"/>
      <c r="L89"/>
      <c r="N89"/>
      <c r="O89"/>
      <c r="P89"/>
    </row>
    <row r="90" spans="2:16" x14ac:dyDescent="0.2">
      <c r="B90" s="15"/>
      <c r="C90" s="15"/>
      <c r="D90" s="15"/>
      <c r="E90" s="15"/>
      <c r="F90" s="15"/>
      <c r="H90" s="16"/>
      <c r="I90" s="16"/>
      <c r="J90" s="16"/>
      <c r="K90"/>
      <c r="L90"/>
      <c r="N90"/>
      <c r="O90"/>
      <c r="P90"/>
    </row>
    <row r="91" spans="2:16" x14ac:dyDescent="0.2">
      <c r="B91" s="15"/>
      <c r="C91" s="15"/>
      <c r="D91" s="15"/>
      <c r="E91" s="15"/>
      <c r="F91" s="15"/>
      <c r="H91" s="16"/>
      <c r="I91" s="16"/>
      <c r="J91" s="16"/>
      <c r="K91"/>
      <c r="L91"/>
      <c r="N91"/>
      <c r="O91"/>
      <c r="P91"/>
    </row>
    <row r="92" spans="2:16" x14ac:dyDescent="0.2">
      <c r="B92" s="15"/>
      <c r="C92" s="15"/>
      <c r="D92" s="15"/>
      <c r="E92" s="15"/>
      <c r="F92" s="15"/>
      <c r="H92" s="16"/>
      <c r="I92" s="16"/>
      <c r="J92" s="16"/>
      <c r="K92"/>
      <c r="L92"/>
      <c r="N92"/>
      <c r="O92"/>
      <c r="P92"/>
    </row>
    <row r="93" spans="2:16" x14ac:dyDescent="0.2">
      <c r="B93" s="15"/>
      <c r="C93" s="15"/>
      <c r="D93" s="15"/>
      <c r="E93" s="15"/>
      <c r="F93" s="15"/>
      <c r="H93" s="16"/>
      <c r="I93" s="16"/>
      <c r="J93" s="16"/>
      <c r="K93"/>
      <c r="L93"/>
      <c r="N93"/>
      <c r="O93"/>
      <c r="P93"/>
    </row>
    <row r="94" spans="2:16" x14ac:dyDescent="0.2">
      <c r="B94" s="15"/>
      <c r="C94" s="15"/>
      <c r="D94" s="15"/>
      <c r="E94" s="15"/>
      <c r="F94" s="15"/>
      <c r="H94" s="16"/>
      <c r="I94" s="16"/>
      <c r="J94" s="16"/>
      <c r="K94"/>
      <c r="L94"/>
      <c r="N94"/>
      <c r="O94"/>
      <c r="P94"/>
    </row>
    <row r="95" spans="2:16" x14ac:dyDescent="0.2">
      <c r="B95" s="15"/>
      <c r="C95" s="15"/>
      <c r="D95" s="15"/>
      <c r="E95" s="15"/>
      <c r="F95" s="15"/>
      <c r="H95" s="16"/>
      <c r="I95" s="16"/>
      <c r="J95" s="16"/>
      <c r="K95"/>
      <c r="L95"/>
      <c r="N95"/>
      <c r="O95"/>
      <c r="P95"/>
    </row>
    <row r="96" spans="2:16" x14ac:dyDescent="0.2">
      <c r="B96" s="15"/>
      <c r="C96" s="15"/>
      <c r="D96" s="15"/>
      <c r="E96" s="15"/>
      <c r="F96" s="15"/>
      <c r="H96" s="16"/>
      <c r="I96" s="16"/>
      <c r="J96" s="16"/>
      <c r="K96"/>
      <c r="L96"/>
      <c r="N96"/>
      <c r="O96"/>
      <c r="P96"/>
    </row>
    <row r="97" spans="2:16" x14ac:dyDescent="0.2">
      <c r="B97" s="15"/>
      <c r="C97" s="15"/>
      <c r="D97" s="15"/>
      <c r="E97" s="15"/>
      <c r="F97" s="15"/>
      <c r="H97" s="16"/>
      <c r="I97" s="16"/>
      <c r="J97" s="16"/>
      <c r="K97"/>
      <c r="L97"/>
      <c r="N97"/>
      <c r="O97"/>
      <c r="P97"/>
    </row>
    <row r="98" spans="2:16" x14ac:dyDescent="0.2">
      <c r="B98" s="15"/>
      <c r="C98" s="15"/>
      <c r="D98" s="15"/>
      <c r="E98" s="15"/>
      <c r="F98" s="15"/>
      <c r="H98" s="16"/>
      <c r="I98" s="16"/>
      <c r="J98" s="16"/>
      <c r="K98"/>
      <c r="L98"/>
      <c r="N98"/>
      <c r="O98"/>
      <c r="P98"/>
    </row>
    <row r="99" spans="2:16" x14ac:dyDescent="0.2">
      <c r="B99" s="15"/>
      <c r="C99" s="15"/>
      <c r="D99" s="15"/>
      <c r="E99" s="15"/>
      <c r="F99" s="15"/>
      <c r="H99" s="16"/>
      <c r="I99" s="16"/>
      <c r="J99" s="16"/>
      <c r="K99"/>
      <c r="L99"/>
      <c r="N99"/>
      <c r="O99"/>
      <c r="P99"/>
    </row>
    <row r="100" spans="2:16" x14ac:dyDescent="0.2">
      <c r="B100" s="15"/>
      <c r="C100" s="15"/>
      <c r="D100" s="15"/>
      <c r="E100" s="15"/>
      <c r="F100" s="15"/>
      <c r="H100" s="16"/>
      <c r="I100" s="16"/>
      <c r="J100" s="16"/>
      <c r="K100"/>
      <c r="L100"/>
      <c r="N100"/>
      <c r="O100"/>
      <c r="P100"/>
    </row>
    <row r="101" spans="2:16" x14ac:dyDescent="0.2">
      <c r="B101" s="15"/>
      <c r="C101" s="15"/>
      <c r="D101" s="15"/>
      <c r="E101" s="15"/>
      <c r="F101" s="15"/>
      <c r="H101" s="16"/>
      <c r="I101" s="16"/>
      <c r="J101" s="16"/>
      <c r="K101"/>
      <c r="L101"/>
      <c r="N101"/>
      <c r="O101"/>
      <c r="P101"/>
    </row>
    <row r="102" spans="2:16" x14ac:dyDescent="0.2">
      <c r="B102" s="15"/>
      <c r="C102" s="15"/>
      <c r="D102" s="15"/>
      <c r="E102" s="15"/>
      <c r="F102" s="15"/>
      <c r="H102" s="16"/>
      <c r="I102" s="16"/>
      <c r="J102" s="16"/>
      <c r="K102"/>
      <c r="L102"/>
      <c r="N102"/>
      <c r="O102"/>
      <c r="P102"/>
    </row>
    <row r="103" spans="2:16" x14ac:dyDescent="0.2">
      <c r="B103" s="15"/>
      <c r="C103" s="15"/>
      <c r="D103" s="15"/>
      <c r="E103" s="15"/>
      <c r="F103" s="15"/>
      <c r="H103" s="16"/>
      <c r="I103" s="16"/>
      <c r="J103" s="16"/>
      <c r="K103"/>
      <c r="L103"/>
      <c r="N103"/>
      <c r="O103"/>
      <c r="P103"/>
    </row>
    <row r="104" spans="2:16" x14ac:dyDescent="0.2">
      <c r="B104" s="15"/>
      <c r="C104" s="15"/>
      <c r="D104" s="15"/>
      <c r="E104" s="15"/>
      <c r="F104" s="15"/>
      <c r="H104" s="16"/>
      <c r="I104" s="16"/>
      <c r="J104" s="16"/>
      <c r="K104"/>
      <c r="L104"/>
      <c r="N104"/>
      <c r="O104"/>
      <c r="P104"/>
    </row>
    <row r="105" spans="2:16" x14ac:dyDescent="0.2">
      <c r="B105" s="15"/>
      <c r="C105" s="15"/>
      <c r="D105" s="15"/>
      <c r="E105" s="15"/>
      <c r="F105" s="15"/>
      <c r="H105" s="16"/>
      <c r="I105" s="16"/>
      <c r="J105" s="16"/>
      <c r="K105"/>
      <c r="L105"/>
      <c r="N105"/>
      <c r="O105"/>
      <c r="P105"/>
    </row>
    <row r="106" spans="2:16" x14ac:dyDescent="0.2">
      <c r="B106" s="15"/>
      <c r="C106" s="15"/>
      <c r="D106" s="15"/>
      <c r="E106" s="15"/>
      <c r="F106" s="15"/>
      <c r="H106" s="16"/>
      <c r="I106" s="16"/>
      <c r="J106" s="16"/>
      <c r="K106"/>
      <c r="L106"/>
      <c r="N106"/>
      <c r="O106"/>
      <c r="P106"/>
    </row>
    <row r="107" spans="2:16" x14ac:dyDescent="0.2">
      <c r="B107" s="15"/>
      <c r="C107" s="15"/>
      <c r="D107" s="15"/>
      <c r="E107" s="15"/>
      <c r="F107" s="15"/>
      <c r="H107" s="16"/>
      <c r="I107" s="16"/>
      <c r="J107" s="16"/>
      <c r="K107"/>
      <c r="L107"/>
      <c r="N107"/>
      <c r="O107"/>
      <c r="P107"/>
    </row>
    <row r="108" spans="2:16" x14ac:dyDescent="0.2">
      <c r="B108" s="15"/>
      <c r="C108" s="15"/>
      <c r="D108" s="15"/>
      <c r="E108" s="15"/>
      <c r="F108" s="15"/>
      <c r="H108" s="16"/>
      <c r="I108" s="16"/>
      <c r="J108" s="16"/>
      <c r="K108"/>
      <c r="L108"/>
      <c r="N108"/>
      <c r="O108"/>
      <c r="P108"/>
    </row>
    <row r="109" spans="2:16" x14ac:dyDescent="0.2">
      <c r="B109" s="15"/>
      <c r="C109" s="15"/>
      <c r="D109" s="15"/>
      <c r="E109" s="15"/>
      <c r="F109" s="15"/>
      <c r="H109" s="16"/>
      <c r="I109" s="16"/>
      <c r="J109" s="16"/>
      <c r="K109"/>
      <c r="L109"/>
      <c r="N109"/>
      <c r="O109"/>
      <c r="P109"/>
    </row>
    <row r="110" spans="2:16" x14ac:dyDescent="0.2">
      <c r="B110" s="15"/>
      <c r="C110" s="15"/>
      <c r="D110" s="15"/>
      <c r="E110" s="15"/>
      <c r="F110" s="15"/>
      <c r="H110" s="16"/>
      <c r="I110" s="16"/>
      <c r="J110" s="16"/>
      <c r="K110"/>
      <c r="L110"/>
      <c r="N110"/>
      <c r="O110"/>
      <c r="P110"/>
    </row>
    <row r="111" spans="2:16" x14ac:dyDescent="0.2">
      <c r="B111" s="15"/>
      <c r="C111" s="15"/>
      <c r="D111" s="15"/>
      <c r="E111" s="15"/>
      <c r="F111" s="15"/>
      <c r="H111" s="16"/>
      <c r="I111" s="16"/>
      <c r="J111" s="16"/>
      <c r="K111"/>
      <c r="L111"/>
      <c r="N111"/>
      <c r="O111"/>
      <c r="P111"/>
    </row>
    <row r="112" spans="2:16" x14ac:dyDescent="0.2">
      <c r="B112" s="15"/>
      <c r="C112" s="15"/>
      <c r="D112" s="15"/>
      <c r="E112" s="15"/>
      <c r="F112" s="15"/>
      <c r="H112" s="16"/>
      <c r="I112" s="16"/>
      <c r="J112" s="16"/>
      <c r="K112"/>
      <c r="L112"/>
      <c r="N112"/>
      <c r="O112"/>
      <c r="P112"/>
    </row>
    <row r="113" spans="2:16" x14ac:dyDescent="0.2">
      <c r="B113" s="15"/>
      <c r="C113" s="15"/>
      <c r="D113" s="15"/>
      <c r="E113" s="15"/>
      <c r="F113" s="15"/>
      <c r="H113" s="16"/>
      <c r="I113" s="16"/>
      <c r="J113" s="16"/>
      <c r="K113"/>
      <c r="L113"/>
      <c r="N113"/>
      <c r="O113"/>
      <c r="P113"/>
    </row>
    <row r="114" spans="2:16" x14ac:dyDescent="0.2">
      <c r="B114" s="15"/>
      <c r="C114" s="15"/>
      <c r="D114" s="15"/>
      <c r="E114" s="15"/>
      <c r="F114" s="15"/>
      <c r="H114" s="16"/>
      <c r="I114" s="16"/>
      <c r="J114" s="16"/>
      <c r="K114"/>
      <c r="L114"/>
      <c r="N114"/>
      <c r="O114"/>
      <c r="P114"/>
    </row>
    <row r="115" spans="2:16" x14ac:dyDescent="0.2">
      <c r="B115" s="15"/>
      <c r="C115" s="15"/>
      <c r="D115" s="15"/>
      <c r="E115" s="15"/>
      <c r="F115" s="15"/>
      <c r="H115" s="16"/>
      <c r="I115" s="16"/>
      <c r="J115" s="16"/>
      <c r="K115"/>
      <c r="L115"/>
      <c r="N115"/>
      <c r="O115"/>
      <c r="P115"/>
    </row>
    <row r="116" spans="2:16" x14ac:dyDescent="0.2">
      <c r="B116" s="15"/>
      <c r="C116" s="15"/>
      <c r="D116" s="15"/>
      <c r="E116" s="15"/>
      <c r="F116" s="15"/>
      <c r="H116" s="16"/>
      <c r="I116" s="16"/>
      <c r="J116" s="16"/>
      <c r="K116"/>
      <c r="L116"/>
      <c r="N116"/>
      <c r="O116"/>
      <c r="P116"/>
    </row>
    <row r="117" spans="2:16" x14ac:dyDescent="0.2">
      <c r="B117" s="15"/>
      <c r="C117" s="15"/>
      <c r="D117" s="15"/>
      <c r="E117" s="15"/>
      <c r="F117" s="15"/>
      <c r="H117" s="16"/>
      <c r="I117" s="16"/>
      <c r="J117" s="16"/>
      <c r="K117"/>
      <c r="L117"/>
      <c r="N117"/>
      <c r="O117"/>
      <c r="P117"/>
    </row>
    <row r="118" spans="2:16" x14ac:dyDescent="0.2">
      <c r="B118" s="15"/>
      <c r="C118" s="15"/>
      <c r="D118" s="15"/>
      <c r="E118" s="15"/>
      <c r="F118" s="15"/>
      <c r="H118" s="16"/>
      <c r="I118" s="16"/>
      <c r="J118" s="16"/>
      <c r="K118"/>
      <c r="L118"/>
      <c r="N118"/>
      <c r="O118"/>
      <c r="P118"/>
    </row>
    <row r="119" spans="2:16" x14ac:dyDescent="0.2">
      <c r="B119" s="15"/>
      <c r="C119" s="15"/>
      <c r="D119" s="15"/>
      <c r="E119" s="15"/>
      <c r="F119" s="15"/>
      <c r="H119" s="16"/>
      <c r="I119" s="16"/>
      <c r="J119" s="16"/>
      <c r="K119"/>
      <c r="L119"/>
      <c r="N119"/>
      <c r="O119"/>
      <c r="P119"/>
    </row>
    <row r="120" spans="2:16" x14ac:dyDescent="0.2">
      <c r="B120" s="15"/>
      <c r="C120" s="15"/>
      <c r="D120" s="15"/>
      <c r="E120" s="15"/>
      <c r="F120" s="15"/>
      <c r="H120" s="16"/>
      <c r="I120" s="16"/>
      <c r="J120" s="16"/>
      <c r="K120"/>
      <c r="L120"/>
      <c r="N120"/>
      <c r="O120"/>
      <c r="P120"/>
    </row>
    <row r="121" spans="2:16" x14ac:dyDescent="0.2">
      <c r="B121" s="15"/>
      <c r="C121" s="15"/>
      <c r="D121" s="15"/>
      <c r="E121" s="15"/>
      <c r="F121" s="15"/>
      <c r="H121" s="16"/>
      <c r="I121" s="16"/>
      <c r="J121" s="16"/>
      <c r="K121"/>
      <c r="L121"/>
      <c r="N121"/>
      <c r="O121"/>
      <c r="P121"/>
    </row>
    <row r="122" spans="2:16" x14ac:dyDescent="0.2">
      <c r="B122" s="15"/>
      <c r="C122" s="15"/>
      <c r="D122" s="15"/>
      <c r="E122" s="15"/>
      <c r="F122" s="15"/>
      <c r="H122" s="16"/>
      <c r="I122" s="16"/>
      <c r="J122" s="16"/>
      <c r="K122"/>
      <c r="L122"/>
      <c r="N122"/>
      <c r="O122"/>
      <c r="P122"/>
    </row>
    <row r="123" spans="2:16" x14ac:dyDescent="0.2">
      <c r="B123" s="15"/>
      <c r="C123" s="15"/>
      <c r="D123" s="15"/>
      <c r="E123" s="15"/>
      <c r="F123" s="15"/>
      <c r="H123" s="16"/>
      <c r="I123" s="16"/>
      <c r="J123" s="16"/>
      <c r="K123"/>
      <c r="L123"/>
      <c r="N123"/>
      <c r="O123"/>
      <c r="P123"/>
    </row>
    <row r="124" spans="2:16" x14ac:dyDescent="0.2">
      <c r="B124" s="15"/>
      <c r="C124" s="15"/>
      <c r="D124" s="15"/>
      <c r="E124" s="15"/>
      <c r="F124" s="15"/>
      <c r="H124" s="16"/>
      <c r="I124" s="16"/>
      <c r="J124" s="16"/>
      <c r="K124"/>
      <c r="L124"/>
      <c r="N124"/>
      <c r="O124"/>
      <c r="P124"/>
    </row>
    <row r="125" spans="2:16" x14ac:dyDescent="0.2">
      <c r="B125" s="15"/>
      <c r="C125" s="15"/>
      <c r="D125" s="15"/>
      <c r="E125" s="15"/>
      <c r="F125" s="15"/>
      <c r="H125" s="16"/>
      <c r="I125" s="16"/>
      <c r="J125" s="16"/>
      <c r="K125"/>
      <c r="L125"/>
      <c r="N125"/>
      <c r="O125"/>
      <c r="P125"/>
    </row>
    <row r="126" spans="2:16" x14ac:dyDescent="0.2">
      <c r="B126" s="15"/>
      <c r="C126" s="15"/>
      <c r="D126" s="15"/>
      <c r="E126" s="15"/>
      <c r="F126" s="15"/>
      <c r="H126" s="16"/>
      <c r="I126" s="16"/>
      <c r="J126" s="16"/>
      <c r="K126"/>
      <c r="L126"/>
      <c r="N126"/>
      <c r="O126"/>
      <c r="P126"/>
    </row>
    <row r="127" spans="2:16" x14ac:dyDescent="0.2">
      <c r="B127" s="15"/>
      <c r="C127" s="15"/>
      <c r="D127" s="15"/>
      <c r="E127" s="15"/>
      <c r="F127" s="15"/>
      <c r="H127" s="16"/>
      <c r="I127" s="16"/>
      <c r="J127" s="16"/>
      <c r="K127"/>
      <c r="L127"/>
      <c r="N127"/>
      <c r="O127"/>
      <c r="P127"/>
    </row>
    <row r="128" spans="2:16" x14ac:dyDescent="0.2">
      <c r="B128" s="15"/>
      <c r="C128" s="15"/>
      <c r="D128" s="15"/>
      <c r="E128" s="15"/>
      <c r="F128" s="15"/>
      <c r="H128" s="16"/>
      <c r="I128" s="16"/>
      <c r="J128" s="16"/>
      <c r="K128"/>
      <c r="L128"/>
      <c r="N128"/>
      <c r="O128"/>
      <c r="P128"/>
    </row>
    <row r="129" spans="2:16" x14ac:dyDescent="0.2">
      <c r="B129" s="15"/>
      <c r="C129" s="15"/>
      <c r="D129" s="15"/>
      <c r="E129" s="15"/>
      <c r="F129" s="15"/>
      <c r="H129" s="16"/>
      <c r="I129" s="16"/>
      <c r="J129" s="16"/>
      <c r="K129"/>
      <c r="L129"/>
      <c r="N129"/>
      <c r="O129"/>
      <c r="P129"/>
    </row>
    <row r="130" spans="2:16" x14ac:dyDescent="0.2">
      <c r="B130" s="15"/>
      <c r="C130" s="15"/>
      <c r="D130" s="15"/>
      <c r="E130" s="15"/>
      <c r="F130" s="15"/>
      <c r="H130" s="16"/>
      <c r="I130" s="16"/>
      <c r="J130" s="16"/>
      <c r="K130"/>
      <c r="L130"/>
      <c r="N130"/>
      <c r="O130"/>
      <c r="P130"/>
    </row>
    <row r="131" spans="2:16" x14ac:dyDescent="0.2">
      <c r="B131" s="15"/>
      <c r="C131" s="15"/>
      <c r="D131" s="15"/>
      <c r="E131" s="15"/>
      <c r="F131" s="15"/>
      <c r="H131" s="16"/>
      <c r="I131" s="16"/>
      <c r="J131" s="16"/>
      <c r="K131"/>
      <c r="L131"/>
      <c r="N131"/>
      <c r="O131"/>
      <c r="P131"/>
    </row>
    <row r="132" spans="2:16" x14ac:dyDescent="0.2">
      <c r="B132" s="15"/>
      <c r="C132" s="15"/>
      <c r="D132" s="15"/>
      <c r="E132" s="15"/>
      <c r="F132" s="15"/>
      <c r="H132" s="16"/>
      <c r="I132" s="16"/>
      <c r="J132" s="16"/>
      <c r="K132"/>
      <c r="L132"/>
      <c r="N132"/>
      <c r="O132"/>
      <c r="P132"/>
    </row>
    <row r="133" spans="2:16" x14ac:dyDescent="0.2">
      <c r="B133" s="15"/>
      <c r="C133" s="15"/>
      <c r="D133" s="15"/>
      <c r="E133" s="15"/>
      <c r="F133" s="15"/>
      <c r="H133" s="16"/>
      <c r="I133" s="16"/>
      <c r="J133" s="16"/>
      <c r="K133"/>
      <c r="L133"/>
      <c r="N133"/>
      <c r="O133"/>
      <c r="P133"/>
    </row>
    <row r="134" spans="2:16" x14ac:dyDescent="0.2">
      <c r="B134" s="15"/>
      <c r="C134" s="15"/>
      <c r="D134" s="15"/>
      <c r="E134" s="15"/>
      <c r="F134" s="15"/>
      <c r="H134" s="16"/>
      <c r="I134" s="16"/>
      <c r="J134" s="16"/>
      <c r="K134"/>
      <c r="L134"/>
      <c r="N134"/>
      <c r="O134"/>
      <c r="P134"/>
    </row>
    <row r="135" spans="2:16" x14ac:dyDescent="0.2">
      <c r="B135" s="15"/>
      <c r="C135" s="15"/>
      <c r="D135" s="15"/>
      <c r="E135" s="15"/>
      <c r="F135" s="15"/>
      <c r="H135" s="16"/>
      <c r="I135" s="16"/>
      <c r="J135" s="16"/>
      <c r="K135"/>
      <c r="L135"/>
      <c r="N135"/>
      <c r="O135"/>
      <c r="P135"/>
    </row>
    <row r="136" spans="2:16" x14ac:dyDescent="0.2">
      <c r="B136" s="15"/>
      <c r="C136" s="15"/>
      <c r="D136" s="15"/>
      <c r="E136" s="15"/>
      <c r="F136" s="15"/>
      <c r="H136" s="16"/>
      <c r="I136" s="16"/>
      <c r="J136" s="16"/>
      <c r="K136"/>
      <c r="L136"/>
      <c r="N136"/>
      <c r="O136"/>
      <c r="P136"/>
    </row>
    <row r="137" spans="2:16" x14ac:dyDescent="0.2">
      <c r="B137" s="15"/>
      <c r="C137" s="15"/>
      <c r="D137" s="15"/>
      <c r="E137" s="15"/>
      <c r="F137" s="15"/>
      <c r="H137" s="16"/>
      <c r="I137" s="16"/>
      <c r="J137" s="16"/>
      <c r="K137"/>
      <c r="L137"/>
      <c r="N137"/>
      <c r="O137"/>
      <c r="P137"/>
    </row>
    <row r="138" spans="2:16" x14ac:dyDescent="0.2">
      <c r="B138" s="15"/>
      <c r="C138" s="15"/>
      <c r="D138" s="15"/>
      <c r="E138" s="15"/>
      <c r="F138" s="15"/>
      <c r="H138" s="16"/>
      <c r="I138" s="16"/>
      <c r="J138" s="16"/>
      <c r="K138"/>
      <c r="L138"/>
      <c r="N138"/>
      <c r="O138"/>
      <c r="P138"/>
    </row>
    <row r="139" spans="2:16" x14ac:dyDescent="0.2">
      <c r="B139" s="15"/>
      <c r="C139" s="15"/>
      <c r="D139" s="15"/>
      <c r="E139" s="15"/>
      <c r="F139" s="15"/>
      <c r="H139" s="16"/>
      <c r="I139" s="16"/>
      <c r="J139" s="16"/>
      <c r="K139"/>
      <c r="L139"/>
      <c r="N139"/>
      <c r="O139"/>
      <c r="P139"/>
    </row>
    <row r="140" spans="2:16" x14ac:dyDescent="0.2">
      <c r="B140" s="15"/>
      <c r="C140" s="15"/>
      <c r="D140" s="15"/>
      <c r="E140" s="15"/>
      <c r="F140" s="15"/>
      <c r="H140" s="16"/>
      <c r="I140" s="16"/>
      <c r="J140" s="16"/>
      <c r="K140"/>
      <c r="L140"/>
      <c r="N140"/>
      <c r="O140"/>
      <c r="P140"/>
    </row>
    <row r="141" spans="2:16" x14ac:dyDescent="0.2">
      <c r="B141" s="15"/>
      <c r="C141" s="15"/>
      <c r="D141" s="15"/>
      <c r="E141" s="15"/>
      <c r="F141" s="15"/>
      <c r="H141" s="16"/>
      <c r="I141" s="16"/>
      <c r="J141" s="16"/>
      <c r="K141"/>
      <c r="L141"/>
      <c r="N141"/>
      <c r="O141"/>
      <c r="P141"/>
    </row>
    <row r="142" spans="2:16" x14ac:dyDescent="0.2">
      <c r="B142" s="15"/>
      <c r="C142" s="15"/>
      <c r="D142" s="15"/>
      <c r="E142" s="15"/>
      <c r="F142" s="15"/>
      <c r="H142" s="16"/>
      <c r="I142" s="16"/>
      <c r="J142" s="16"/>
      <c r="K142"/>
      <c r="L142"/>
      <c r="N142"/>
      <c r="O142"/>
      <c r="P142"/>
    </row>
    <row r="143" spans="2:16" x14ac:dyDescent="0.2">
      <c r="B143" s="15"/>
      <c r="C143" s="15"/>
      <c r="D143" s="15"/>
      <c r="E143" s="15"/>
      <c r="F143" s="15"/>
      <c r="H143" s="16"/>
      <c r="I143" s="16"/>
      <c r="J143" s="16"/>
      <c r="K143"/>
      <c r="L143"/>
      <c r="N143"/>
      <c r="O143"/>
      <c r="P143"/>
    </row>
    <row r="144" spans="2:16" x14ac:dyDescent="0.2">
      <c r="B144" s="15"/>
      <c r="C144" s="15"/>
      <c r="D144" s="15"/>
      <c r="E144" s="15"/>
      <c r="F144" s="15"/>
      <c r="H144" s="16"/>
      <c r="I144" s="16"/>
      <c r="J144" s="16"/>
      <c r="K144"/>
      <c r="L144"/>
      <c r="N144"/>
      <c r="O144"/>
      <c r="P144"/>
    </row>
    <row r="145" spans="2:16" x14ac:dyDescent="0.2">
      <c r="B145" s="15"/>
      <c r="C145" s="15"/>
      <c r="D145" s="15"/>
      <c r="E145" s="15"/>
      <c r="F145" s="15"/>
      <c r="H145" s="16"/>
      <c r="I145" s="16"/>
      <c r="J145" s="16"/>
      <c r="K145"/>
      <c r="L145"/>
      <c r="N145"/>
      <c r="O145"/>
      <c r="P145"/>
    </row>
    <row r="146" spans="2:16" x14ac:dyDescent="0.2">
      <c r="B146" s="15"/>
      <c r="C146" s="15"/>
      <c r="D146" s="15"/>
      <c r="E146" s="15"/>
      <c r="F146" s="15"/>
      <c r="H146" s="16"/>
      <c r="I146" s="16"/>
      <c r="J146" s="16"/>
      <c r="K146"/>
      <c r="L146"/>
      <c r="N146"/>
      <c r="O146"/>
      <c r="P146"/>
    </row>
    <row r="147" spans="2:16" x14ac:dyDescent="0.2">
      <c r="B147" s="15"/>
      <c r="C147" s="15"/>
      <c r="D147" s="15"/>
      <c r="E147" s="15"/>
      <c r="F147" s="15"/>
      <c r="H147" s="16"/>
      <c r="I147" s="16"/>
      <c r="J147" s="16"/>
      <c r="K147"/>
      <c r="L147"/>
      <c r="N147"/>
      <c r="O147"/>
      <c r="P147"/>
    </row>
    <row r="148" spans="2:16" x14ac:dyDescent="0.2">
      <c r="B148" s="15"/>
      <c r="C148" s="15"/>
      <c r="D148" s="15"/>
      <c r="E148" s="15"/>
      <c r="F148" s="15"/>
      <c r="H148" s="16"/>
      <c r="I148" s="16"/>
      <c r="J148" s="16"/>
      <c r="K148"/>
      <c r="L148"/>
      <c r="N148"/>
      <c r="O148"/>
      <c r="P148"/>
    </row>
    <row r="149" spans="2:16" x14ac:dyDescent="0.2">
      <c r="B149" s="15"/>
      <c r="C149" s="15"/>
      <c r="D149" s="15"/>
      <c r="E149" s="15"/>
      <c r="F149" s="15"/>
      <c r="H149" s="16"/>
      <c r="I149" s="16"/>
      <c r="J149" s="16"/>
      <c r="K149"/>
      <c r="L149"/>
      <c r="N149"/>
      <c r="O149"/>
      <c r="P149"/>
    </row>
    <row r="150" spans="2:16" x14ac:dyDescent="0.2">
      <c r="B150" s="15"/>
      <c r="C150" s="15"/>
      <c r="D150" s="15"/>
      <c r="E150" s="15"/>
      <c r="F150" s="15"/>
      <c r="H150" s="16"/>
      <c r="I150" s="16"/>
      <c r="J150" s="16"/>
      <c r="K150"/>
      <c r="L150"/>
      <c r="N150"/>
      <c r="O150"/>
      <c r="P150"/>
    </row>
    <row r="151" spans="2:16" x14ac:dyDescent="0.2">
      <c r="B151" s="15"/>
      <c r="C151" s="15"/>
      <c r="D151" s="15"/>
      <c r="E151" s="15"/>
      <c r="F151" s="15"/>
      <c r="H151" s="16"/>
      <c r="I151" s="16"/>
      <c r="J151" s="16"/>
      <c r="K151"/>
      <c r="L151"/>
      <c r="N151"/>
      <c r="O151"/>
      <c r="P151"/>
    </row>
  </sheetData>
  <sheetProtection formatColumns="0" formatRows="0"/>
  <mergeCells count="8">
    <mergeCell ref="F14:G14"/>
    <mergeCell ref="F15:G15"/>
    <mergeCell ref="F1:G1"/>
    <mergeCell ref="B5:G5"/>
    <mergeCell ref="B6:G6"/>
    <mergeCell ref="B7:G7"/>
    <mergeCell ref="B8:G8"/>
    <mergeCell ref="F12:G12"/>
  </mergeCells>
  <conditionalFormatting sqref="C14:D14">
    <cfRule type="cellIs" dxfId="0" priority="1" operator="equal">
      <formula>"FOUT"</formula>
    </cfRule>
  </conditionalFormatting>
  <pageMargins left="0.7" right="0.7" top="0.75" bottom="0.75" header="0.3" footer="0.3"/>
  <pageSetup paperSize="9" orientation="landscape" r:id="rId1"/>
  <headerFooter>
    <oddFooter>&amp;L&amp;F&amp;CProcedure SBRCURnet&amp;RPagina &amp;P van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Capping_Romfix</vt:lpstr>
      <vt:lpstr>RoadBase_Romfix</vt:lpstr>
      <vt:lpstr>Capping_Romfix!Afdrukbereik</vt:lpstr>
      <vt:lpstr>RoadBase_Romfix!Afdrukbereik</vt:lpstr>
    </vt:vector>
  </TitlesOfParts>
  <Company>KOAC-NPC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 van Gurp</dc:creator>
  <cp:lastModifiedBy>Bernt-Jan Bosma (Yenlo)</cp:lastModifiedBy>
  <cp:lastPrinted>2023-12-14T12:54:49Z</cp:lastPrinted>
  <dcterms:created xsi:type="dcterms:W3CDTF">2017-03-10T13:17:44Z</dcterms:created>
  <dcterms:modified xsi:type="dcterms:W3CDTF">2026-03-27T09:33:29Z</dcterms:modified>
</cp:coreProperties>
</file>